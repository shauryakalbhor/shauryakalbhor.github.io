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5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Comps" sheetId="3" state="visible" r:id="rId3"/>
    <sheet xmlns:r="http://schemas.openxmlformats.org/officeDocument/2006/relationships" name="Sources and Uses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Annual Summary" sheetId="6" state="visible" r:id="rId6"/>
    <sheet xmlns:r="http://schemas.openxmlformats.org/officeDocument/2006/relationships" name="Returns" sheetId="7" state="visible" r:id="rId7"/>
    <sheet xmlns:r="http://schemas.openxmlformats.org/officeDocument/2006/relationships" name="Sensitivity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0">
    <numFmt numFmtId="164" formatCode="\$#,##0"/>
    <numFmt numFmtId="165" formatCode="m/d/yyyy"/>
    <numFmt numFmtId="166" formatCode="\$#,##0.00"/>
    <numFmt numFmtId="167" formatCode="0;\-0;\-"/>
    <numFmt numFmtId="168" formatCode="\$#,##0;&quot;($&quot;#,##0\);\-"/>
    <numFmt numFmtId="169" formatCode="\$#,##0.00;&quot;($&quot;#,##0.00\);\-"/>
    <numFmt numFmtId="170" formatCode="0.00\x"/>
    <numFmt numFmtId="171" formatCode="0.0%;\(0.0%\);\-"/>
    <numFmt numFmtId="172" formatCode="\$0.00"/>
    <numFmt numFmtId="173" formatCode="0.0%;\(0.0%\)"/>
    <numFmt numFmtId="174" formatCode="&quot;$&quot;#,##0.00"/>
    <numFmt numFmtId="175" formatCode="0.0%"/>
    <numFmt numFmtId="176" formatCode="$#,##0"/>
    <numFmt numFmtId="177" formatCode="$0.00"/>
    <numFmt numFmtId="178" formatCode="0.0%;(0.0%)"/>
    <numFmt numFmtId="179" formatCode="&quot;Blue&quot;"/>
    <numFmt numFmtId="180" formatCode="&quot;Black&quot;"/>
    <numFmt numFmtId="181" formatCode="$#,##0;($#,##0);&quot;OK&quot;"/>
    <numFmt numFmtId="182" formatCode="$#,##0.00"/>
    <numFmt numFmtId="183" formatCode="0.00x"/>
  </numFmts>
  <fonts count="28">
    <font>
      <name val="Aptos Narrow"/>
      <charset val="1"/>
      <family val="2"/>
      <color theme="1"/>
      <sz val="12"/>
    </font>
    <font>
      <name val="Aptos Narrow"/>
      <color theme="3" tint="0.499893185216834"/>
      <sz val="12"/>
    </font>
    <font>
      <name val="Aptos Narrow (Body)"/>
      <charset val="1"/>
      <b val="1"/>
      <color theme="1"/>
      <sz val="16"/>
    </font>
    <font>
      <name val="Aptos Narrow"/>
      <b val="1"/>
      <color rgb="FF000000"/>
      <sz val="12"/>
    </font>
    <font>
      <name val="Aptos Narrow"/>
      <b val="1"/>
      <color theme="1"/>
      <sz val="12"/>
    </font>
    <font>
      <name val="Aptos Narrow"/>
      <color rgb="FF0000FF"/>
      <sz val="12"/>
    </font>
    <font>
      <name val="Aptos Narrow"/>
      <charset val="1"/>
      <family val="2"/>
      <color theme="3" tint="0.499893185216834"/>
      <sz val="12"/>
    </font>
    <font>
      <name val="Aptos Narrow"/>
      <i val="1"/>
      <color rgb="FF595959"/>
      <sz val="11"/>
    </font>
    <font>
      <name val="Aptos Narrow"/>
      <color rgb="FF000000"/>
      <sz val="12"/>
    </font>
    <font>
      <name val="Aptos Narrow"/>
      <color theme="1"/>
      <sz val="12"/>
    </font>
    <font>
      <name val="Aptos Narrow"/>
      <b val="1"/>
      <sz val="16"/>
    </font>
    <font>
      <name val="Aptos Narrow"/>
      <b val="1"/>
      <color rgb="FFFFFFFF"/>
      <sz val="12"/>
    </font>
    <font>
      <name val="Aptos Narrow"/>
      <color rgb="FF002060"/>
      <sz val="12"/>
    </font>
    <font>
      <name val="Arial"/>
      <b val="1"/>
      <sz val="10"/>
    </font>
    <font>
      <name val="Arial"/>
      <sz val="10"/>
    </font>
    <font>
      <name val="Arial"/>
      <color rgb="FF0000FF"/>
      <sz val="10"/>
    </font>
    <font>
      <name val="Arial"/>
      <i val="1"/>
      <color rgb="FF595959"/>
      <sz val="10"/>
    </font>
    <font>
      <name val="Arial"/>
      <color rgb="FF002060"/>
      <sz val="10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b val="1"/>
      <color rgb="001F3A32"/>
      <sz val="10"/>
    </font>
    <font>
      <name val="Arial"/>
      <i val="1"/>
      <color rgb="005F6B63"/>
      <sz val="9"/>
    </font>
    <font>
      <name val="Arial"/>
      <color rgb="000000FF"/>
      <sz val="10"/>
    </font>
    <font>
      <name val="Arial"/>
      <b val="1"/>
      <color rgb="FFFFFFFF"/>
      <sz val="10"/>
    </font>
    <font>
      <name val="Arial"/>
      <color rgb="005F6B63"/>
      <sz val="9"/>
    </font>
    <font>
      <name val="Arial"/>
      <b val="1"/>
      <sz val="11"/>
    </font>
    <font>
      <name val="Arial"/>
      <color rgb="001F3A32"/>
      <sz val="10"/>
    </font>
    <font>
      <name val="Arial"/>
      <color rgb="001F5C99"/>
      <sz val="10"/>
      <u val="single"/>
    </font>
  </fonts>
  <fills count="9">
    <fill>
      <patternFill/>
    </fill>
    <fill>
      <patternFill patternType="gray125"/>
    </fill>
    <fill>
      <patternFill patternType="solid">
        <fgColor rgb="FF1F3A32"/>
        <bgColor rgb="FF333300"/>
      </patternFill>
    </fill>
    <fill>
      <patternFill patternType="solid">
        <fgColor rgb="FFFFF2CC"/>
        <bgColor rgb="FFFFFFFF"/>
      </patternFill>
    </fill>
    <fill>
      <patternFill patternType="solid">
        <fgColor rgb="001F3A32"/>
      </patternFill>
    </fill>
    <fill>
      <patternFill patternType="solid">
        <fgColor rgb="00E6ECE7"/>
      </patternFill>
    </fill>
    <fill>
      <patternFill patternType="solid">
        <fgColor rgb="00FFF6D5"/>
      </patternFill>
    </fill>
    <fill>
      <patternFill patternType="solid">
        <fgColor rgb="00F6F8F6"/>
      </patternFill>
    </fill>
    <fill>
      <patternFill patternType="solid">
        <fgColor rgb="00FFF2CC"/>
      </patternFill>
    </fill>
  </fills>
  <borders count="10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bottom style="thin">
        <color rgb="001F3A32"/>
      </bottom>
    </border>
    <border>
      <bottom style="hair">
        <color rgb="00C9D1CB"/>
      </bottom>
    </border>
    <border>
      <right style="hair">
        <color rgb="00C9D1CB"/>
      </right>
      <bottom style="hair">
        <color rgb="00C9D1CB"/>
      </bottom>
    </border>
    <border>
      <bottom style="thin">
        <color rgb="00C9D1CB"/>
      </bottom>
    </border>
    <border>
      <top style="thin">
        <color rgb="00000000"/>
      </top>
    </border>
    <border>
      <top style="thin">
        <color rgb="00000000"/>
      </top>
      <bottom>
        <color rgb="00000000"/>
      </bottom>
    </border>
    <border>
      <top style="thin">
        <color rgb="00000000"/>
      </top>
      <bottom style="double">
        <color rgb="00000000"/>
      </bottom>
    </border>
    <border/>
  </borders>
  <cellStyleXfs count="1">
    <xf numFmtId="0" fontId="0" fillId="0" borderId="0"/>
  </cellStyleXfs>
  <cellXfs count="155">
    <xf numFmtId="0" fontId="0" fillId="0" borderId="0" pivotButton="0" quotePrefix="0" xfId="0"/>
    <xf numFmtId="0" fontId="7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5" fillId="0" borderId="0" pivotButton="0" quotePrefix="0" xfId="0"/>
    <xf numFmtId="0" fontId="7" fillId="0" borderId="0" pivotButton="0" quotePrefix="0" xfId="0"/>
    <xf numFmtId="164" fontId="5" fillId="0" borderId="0" pivotButton="0" quotePrefix="0" xfId="0"/>
    <xf numFmtId="164" fontId="8" fillId="0" borderId="0" pivotButton="0" quotePrefix="0" xfId="0"/>
    <xf numFmtId="9" fontId="5" fillId="0" borderId="0" pivotButton="0" quotePrefix="0" xfId="0"/>
    <xf numFmtId="165" fontId="5" fillId="0" borderId="0" pivotButton="0" quotePrefix="0" xfId="0"/>
    <xf numFmtId="166" fontId="8" fillId="0" borderId="0" pivotButton="0" quotePrefix="0" xfId="0"/>
    <xf numFmtId="10" fontId="5" fillId="0" borderId="0" pivotButton="0" quotePrefix="0" xfId="0"/>
    <xf numFmtId="0" fontId="8" fillId="0" borderId="0" pivotButton="0" quotePrefix="0" xfId="0"/>
    <xf numFmtId="166" fontId="5" fillId="0" borderId="0" pivotButton="0" quotePrefix="0" xfId="0"/>
    <xf numFmtId="3" fontId="0" fillId="0" borderId="0" pivotButton="0" quotePrefix="0" xfId="0"/>
    <xf numFmtId="9" fontId="0" fillId="0" borderId="0" pivotButton="0" quotePrefix="0" xfId="0"/>
    <xf numFmtId="166" fontId="0" fillId="0" borderId="0" pivotButton="0" quotePrefix="0" xfId="0"/>
    <xf numFmtId="3" fontId="4" fillId="0" borderId="0" pivotButton="0" quotePrefix="0" xfId="0"/>
    <xf numFmtId="9" fontId="4" fillId="0" borderId="0" pivotButton="0" quotePrefix="0" xfId="0"/>
    <xf numFmtId="166" fontId="4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2" borderId="0" pivotButton="0" quotePrefix="0" xfId="0"/>
    <xf numFmtId="1" fontId="11" fillId="2" borderId="0" applyAlignment="1" pivotButton="0" quotePrefix="0" xfId="0">
      <alignment horizontal="center"/>
    </xf>
    <xf numFmtId="17" fontId="8" fillId="0" borderId="0" applyAlignment="1" pivotButton="0" quotePrefix="0" xfId="0">
      <alignment horizontal="center"/>
    </xf>
    <xf numFmtId="167" fontId="8" fillId="0" borderId="0" applyAlignment="1" pivotButton="0" quotePrefix="0" xfId="0">
      <alignment horizontal="center"/>
    </xf>
    <xf numFmtId="168" fontId="8" fillId="0" borderId="0" pivotButton="0" quotePrefix="0" xfId="0"/>
    <xf numFmtId="0" fontId="0" fillId="0" borderId="1" pivotButton="0" quotePrefix="0" xfId="0"/>
    <xf numFmtId="168" fontId="3" fillId="0" borderId="1" pivotButton="0" quotePrefix="0" xfId="0"/>
    <xf numFmtId="0" fontId="11" fillId="2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0" borderId="1" pivotButton="0" quotePrefix="0" xfId="0"/>
    <xf numFmtId="168" fontId="7" fillId="0" borderId="0" pivotButton="0" quotePrefix="0" xfId="0"/>
    <xf numFmtId="169" fontId="8" fillId="0" borderId="0" pivotButton="0" quotePrefix="0" xfId="0"/>
    <xf numFmtId="10" fontId="3" fillId="3" borderId="0" pivotButton="0" quotePrefix="0" xfId="0"/>
    <xf numFmtId="10" fontId="8" fillId="0" borderId="0" pivotButton="0" quotePrefix="0" xfId="0"/>
    <xf numFmtId="170" fontId="8" fillId="0" borderId="0" pivotButton="0" quotePrefix="0" xfId="0"/>
    <xf numFmtId="168" fontId="3" fillId="3" borderId="0" pivotButton="0" quotePrefix="0" xfId="0"/>
    <xf numFmtId="171" fontId="8" fillId="0" borderId="0" pivotButton="0" quotePrefix="0" xfId="0"/>
    <xf numFmtId="164" fontId="11" fillId="2" borderId="0" applyAlignment="1" pivotButton="0" quotePrefix="0" xfId="0">
      <alignment horizontal="center"/>
    </xf>
    <xf numFmtId="172" fontId="5" fillId="0" borderId="0" applyAlignment="1" pivotButton="0" quotePrefix="0" xfId="0">
      <alignment horizontal="center"/>
    </xf>
    <xf numFmtId="10" fontId="8" fillId="0" borderId="0" applyAlignment="1" pivotButton="0" quotePrefix="0" xfId="0">
      <alignment horizontal="center"/>
    </xf>
    <xf numFmtId="10" fontId="11" fillId="2" borderId="0" applyAlignment="1" pivotButton="0" quotePrefix="0" xfId="0">
      <alignment horizontal="center"/>
    </xf>
    <xf numFmtId="164" fontId="8" fillId="0" borderId="0" applyAlignment="1" pivotButton="0" quotePrefix="0" xfId="0">
      <alignment horizontal="center"/>
    </xf>
    <xf numFmtId="172" fontId="8" fillId="0" borderId="0" applyAlignment="1" pivotButton="0" quotePrefix="0" xfId="0">
      <alignment horizontal="center"/>
    </xf>
    <xf numFmtId="173" fontId="8" fillId="0" borderId="0" applyAlignment="1" pivotButton="0" quotePrefix="0" xfId="0">
      <alignment horizontal="center"/>
    </xf>
    <xf numFmtId="166" fontId="9" fillId="0" borderId="0" pivotButton="0" quotePrefix="0" xfId="0"/>
    <xf numFmtId="166" fontId="12" fillId="0" borderId="0" pivotButton="0" quotePrefix="0" xfId="0"/>
    <xf numFmtId="174" fontId="0" fillId="0" borderId="0" pivotButton="0" quotePrefix="0" xfId="0"/>
    <xf numFmtId="175" fontId="0" fillId="0" borderId="0" pivotButton="0" quotePrefix="0" xfId="0"/>
    <xf numFmtId="0" fontId="18" fillId="4" borderId="0" applyAlignment="1" pivotButton="0" quotePrefix="0" xfId="0">
      <alignment vertical="center"/>
    </xf>
    <xf numFmtId="0" fontId="0" fillId="4" borderId="0" pivotButton="0" quotePrefix="0" xfId="0"/>
    <xf numFmtId="0" fontId="21" fillId="0" borderId="0" pivotButton="0" quotePrefix="0" xfId="0"/>
    <xf numFmtId="0" fontId="20" fillId="5" borderId="2" pivotButton="0" quotePrefix="0" xfId="0"/>
    <xf numFmtId="0" fontId="14" fillId="0" borderId="3" pivotButton="0" quotePrefix="0" xfId="0"/>
    <xf numFmtId="49" fontId="14" fillId="0" borderId="3" applyAlignment="1" pivotButton="0" quotePrefix="0" xfId="0">
      <alignment horizontal="right"/>
    </xf>
    <xf numFmtId="176" fontId="14" fillId="0" borderId="3" applyAlignment="1" pivotButton="0" quotePrefix="0" xfId="0">
      <alignment horizontal="right"/>
    </xf>
    <xf numFmtId="3" fontId="14" fillId="0" borderId="3" applyAlignment="1" pivotButton="0" quotePrefix="0" xfId="0">
      <alignment horizontal="right"/>
    </xf>
    <xf numFmtId="182" fontId="14" fillId="0" borderId="3" applyAlignment="1" pivotButton="0" quotePrefix="0" xfId="0">
      <alignment horizontal="right"/>
    </xf>
    <xf numFmtId="1" fontId="14" fillId="0" borderId="3" applyAlignment="1" pivotButton="0" quotePrefix="0" xfId="0">
      <alignment horizontal="right"/>
    </xf>
    <xf numFmtId="10" fontId="25" fillId="8" borderId="3" applyAlignment="1" pivotButton="0" quotePrefix="0" xfId="0">
      <alignment horizontal="right"/>
    </xf>
    <xf numFmtId="10" fontId="14" fillId="0" borderId="3" applyAlignment="1" pivotButton="0" quotePrefix="0" xfId="0">
      <alignment horizontal="right"/>
    </xf>
    <xf numFmtId="175" fontId="14" fillId="0" borderId="3" applyAlignment="1" pivotButton="0" quotePrefix="0" xfId="0">
      <alignment horizontal="right"/>
    </xf>
    <xf numFmtId="177" fontId="14" fillId="0" borderId="3" applyAlignment="1" pivotButton="0" quotePrefix="0" xfId="0">
      <alignment horizontal="right"/>
    </xf>
    <xf numFmtId="175" fontId="25" fillId="8" borderId="3" applyAlignment="1" pivotButton="0" quotePrefix="0" xfId="0">
      <alignment horizontal="right"/>
    </xf>
    <xf numFmtId="183" fontId="14" fillId="0" borderId="3" applyAlignment="1" pivotButton="0" quotePrefix="0" xfId="0">
      <alignment horizontal="right"/>
    </xf>
    <xf numFmtId="9" fontId="14" fillId="0" borderId="3" applyAlignment="1" pivotButton="0" quotePrefix="0" xfId="0">
      <alignment horizontal="right"/>
    </xf>
    <xf numFmtId="176" fontId="25" fillId="8" borderId="3" applyAlignment="1" pivotButton="0" quotePrefix="0" xfId="0">
      <alignment horizontal="right"/>
    </xf>
    <xf numFmtId="0" fontId="26" fillId="0" borderId="0" applyAlignment="1" pivotButton="0" quotePrefix="0" xfId="0">
      <alignment vertical="top" wrapText="1"/>
    </xf>
    <xf numFmtId="0" fontId="27" fillId="0" borderId="0" pivotButton="0" quotePrefix="0" xfId="0"/>
    <xf numFmtId="0" fontId="13" fillId="0" borderId="0" pivotButton="0" quotePrefix="0" xfId="0"/>
    <xf numFmtId="0" fontId="19" fillId="4" borderId="0" applyAlignment="1" pivotButton="0" quotePrefix="0" xfId="0">
      <alignment horizontal="left" vertical="center" wrapText="1"/>
    </xf>
    <xf numFmtId="0" fontId="19" fillId="4" borderId="0" applyAlignment="1" pivotButton="0" quotePrefix="0" xfId="0">
      <alignment horizontal="center" vertical="center" wrapText="1"/>
    </xf>
    <xf numFmtId="175" fontId="21" fillId="0" borderId="0" applyAlignment="1" pivotButton="0" quotePrefix="0" xfId="0">
      <alignment horizontal="center"/>
    </xf>
    <xf numFmtId="176" fontId="19" fillId="4" borderId="0" applyAlignment="1" pivotButton="0" quotePrefix="0" xfId="0">
      <alignment horizontal="center"/>
    </xf>
    <xf numFmtId="0" fontId="15" fillId="6" borderId="3" applyAlignment="1" pivotButton="0" quotePrefix="0" xfId="0">
      <alignment horizontal="right"/>
    </xf>
    <xf numFmtId="0" fontId="21" fillId="0" borderId="3" pivotButton="0" quotePrefix="0" xfId="0"/>
    <xf numFmtId="0" fontId="14" fillId="0" borderId="0" pivotButton="0" quotePrefix="0" xfId="0"/>
    <xf numFmtId="177" fontId="13" fillId="5" borderId="0" applyAlignment="1" pivotButton="0" quotePrefix="0" xfId="0">
      <alignment horizontal="center"/>
    </xf>
    <xf numFmtId="178" fontId="14" fillId="0" borderId="4" applyAlignment="1" pivotButton="0" quotePrefix="0" xfId="0">
      <alignment horizontal="center"/>
    </xf>
    <xf numFmtId="3" fontId="15" fillId="6" borderId="3" applyAlignment="1" pivotButton="0" quotePrefix="0" xfId="0">
      <alignment horizontal="right"/>
    </xf>
    <xf numFmtId="164" fontId="15" fillId="6" borderId="3" applyAlignment="1" pivotButton="0" quotePrefix="0" xfId="0">
      <alignment horizontal="right"/>
    </xf>
    <xf numFmtId="164" fontId="14" fillId="0" borderId="3" applyAlignment="1" pivotButton="0" quotePrefix="0" xfId="0">
      <alignment horizontal="right"/>
    </xf>
    <xf numFmtId="9" fontId="15" fillId="6" borderId="3" applyAlignment="1" pivotButton="0" quotePrefix="0" xfId="0">
      <alignment horizontal="right"/>
    </xf>
    <xf numFmtId="165" fontId="15" fillId="6" borderId="3" applyAlignment="1" pivotButton="0" quotePrefix="0" xfId="0">
      <alignment horizontal="right"/>
    </xf>
    <xf numFmtId="166" fontId="17" fillId="0" borderId="3" applyAlignment="1" pivotButton="0" quotePrefix="0" xfId="0">
      <alignment horizontal="right"/>
    </xf>
    <xf numFmtId="10" fontId="15" fillId="6" borderId="3" applyAlignment="1" pivotButton="0" quotePrefix="0" xfId="0">
      <alignment horizontal="right"/>
    </xf>
    <xf numFmtId="0" fontId="14" fillId="0" borderId="3" applyAlignment="1" pivotButton="0" quotePrefix="0" xfId="0">
      <alignment horizontal="right"/>
    </xf>
    <xf numFmtId="166" fontId="15" fillId="6" borderId="3" applyAlignment="1" pivotButton="0" quotePrefix="0" xfId="0">
      <alignment horizontal="right"/>
    </xf>
    <xf numFmtId="166" fontId="14" fillId="0" borderId="3" applyAlignment="1" pivotButton="0" quotePrefix="0" xfId="0">
      <alignment horizontal="right"/>
    </xf>
    <xf numFmtId="179" fontId="22" fillId="6" borderId="0" applyAlignment="1" pivotButton="0" quotePrefix="0" xfId="0">
      <alignment horizontal="right"/>
    </xf>
    <xf numFmtId="180" fontId="14" fillId="0" borderId="0" applyAlignment="1" pivotButton="0" quotePrefix="0" xfId="0">
      <alignment horizontal="right"/>
    </xf>
    <xf numFmtId="3" fontId="19" fillId="4" borderId="0" applyAlignment="1" pivotButton="0" quotePrefix="0" xfId="0">
      <alignment horizontal="center" vertical="center" wrapText="1"/>
    </xf>
    <xf numFmtId="9" fontId="19" fillId="4" borderId="0" applyAlignment="1" pivotButton="0" quotePrefix="0" xfId="0">
      <alignment horizontal="center" vertical="center" wrapText="1"/>
    </xf>
    <xf numFmtId="166" fontId="19" fillId="4" borderId="0" applyAlignment="1" pivotButton="0" quotePrefix="0" xfId="0">
      <alignment horizontal="center" vertical="center" wrapText="1"/>
    </xf>
    <xf numFmtId="0" fontId="14" fillId="0" borderId="5" pivotButton="0" quotePrefix="0" xfId="0"/>
    <xf numFmtId="0" fontId="14" fillId="0" borderId="5" applyAlignment="1" pivotButton="0" quotePrefix="0" xfId="0">
      <alignment horizontal="center"/>
    </xf>
    <xf numFmtId="3" fontId="14" fillId="0" borderId="5" applyAlignment="1" pivotButton="0" quotePrefix="0" xfId="0">
      <alignment horizontal="center"/>
    </xf>
    <xf numFmtId="9" fontId="14" fillId="0" borderId="5" applyAlignment="1" pivotButton="0" quotePrefix="0" xfId="0">
      <alignment horizontal="center"/>
    </xf>
    <xf numFmtId="166" fontId="14" fillId="0" borderId="5" applyAlignment="1" pivotButton="0" quotePrefix="0" xfId="0">
      <alignment horizontal="center"/>
    </xf>
    <xf numFmtId="0" fontId="21" fillId="0" borderId="5" applyAlignment="1" pivotButton="0" quotePrefix="0" xfId="0">
      <alignment horizontal="left"/>
    </xf>
    <xf numFmtId="0" fontId="14" fillId="7" borderId="5" pivotButton="0" quotePrefix="0" xfId="0"/>
    <xf numFmtId="0" fontId="14" fillId="7" borderId="5" applyAlignment="1" pivotButton="0" quotePrefix="0" xfId="0">
      <alignment horizontal="center"/>
    </xf>
    <xf numFmtId="3" fontId="14" fillId="7" borderId="5" applyAlignment="1" pivotButton="0" quotePrefix="0" xfId="0">
      <alignment horizontal="center"/>
    </xf>
    <xf numFmtId="9" fontId="14" fillId="7" borderId="5" applyAlignment="1" pivotButton="0" quotePrefix="0" xfId="0">
      <alignment horizontal="center"/>
    </xf>
    <xf numFmtId="166" fontId="14" fillId="7" borderId="5" applyAlignment="1" pivotButton="0" quotePrefix="0" xfId="0">
      <alignment horizontal="center"/>
    </xf>
    <xf numFmtId="0" fontId="21" fillId="7" borderId="5" applyAlignment="1" pivotButton="0" quotePrefix="0" xfId="0">
      <alignment horizontal="left"/>
    </xf>
    <xf numFmtId="9" fontId="13" fillId="0" borderId="0" applyAlignment="1" pivotButton="0" quotePrefix="0" xfId="0">
      <alignment horizontal="right"/>
    </xf>
    <xf numFmtId="177" fontId="13" fillId="0" borderId="6" applyAlignment="1" pivotButton="0" quotePrefix="0" xfId="0">
      <alignment horizontal="center"/>
    </xf>
    <xf numFmtId="164" fontId="19" fillId="4" borderId="0" applyAlignment="1" pivotButton="0" quotePrefix="0" xfId="0">
      <alignment horizontal="center" vertical="center" wrapText="1"/>
    </xf>
    <xf numFmtId="10" fontId="19" fillId="4" borderId="0" applyAlignment="1" pivotButton="0" quotePrefix="0" xfId="0">
      <alignment horizontal="center" vertical="center" wrapText="1"/>
    </xf>
    <xf numFmtId="0" fontId="13" fillId="0" borderId="7" pivotButton="0" quotePrefix="0" xfId="0"/>
    <xf numFmtId="164" fontId="13" fillId="0" borderId="7" applyAlignment="1" pivotButton="0" quotePrefix="0" xfId="0">
      <alignment horizontal="right"/>
    </xf>
    <xf numFmtId="175" fontId="13" fillId="0" borderId="7" applyAlignment="1" pivotButton="0" quotePrefix="0" xfId="0">
      <alignment horizontal="right"/>
    </xf>
    <xf numFmtId="176" fontId="13" fillId="0" borderId="7" applyAlignment="1" pivotButton="0" quotePrefix="0" xfId="0">
      <alignment horizontal="right"/>
    </xf>
    <xf numFmtId="0" fontId="13" fillId="0" borderId="8" pivotButton="0" quotePrefix="0" xfId="0"/>
    <xf numFmtId="164" fontId="13" fillId="0" borderId="8" applyAlignment="1" pivotButton="0" quotePrefix="0" xfId="0">
      <alignment horizontal="right"/>
    </xf>
    <xf numFmtId="175" fontId="13" fillId="0" borderId="8" applyAlignment="1" pivotButton="0" quotePrefix="0" xfId="0">
      <alignment horizontal="right"/>
    </xf>
    <xf numFmtId="176" fontId="13" fillId="0" borderId="8" applyAlignment="1" pivotButton="0" quotePrefix="0" xfId="0">
      <alignment horizontal="right"/>
    </xf>
    <xf numFmtId="181" fontId="21" fillId="0" borderId="0" pivotButton="0" quotePrefix="0" xfId="0"/>
    <xf numFmtId="0" fontId="16" fillId="4" borderId="0" pivotButton="0" quotePrefix="0" xfId="0"/>
    <xf numFmtId="1" fontId="19" fillId="4" borderId="0" applyAlignment="1" pivotButton="0" quotePrefix="0" xfId="0">
      <alignment horizontal="center" vertical="center" wrapText="1"/>
    </xf>
    <xf numFmtId="0" fontId="21" fillId="7" borderId="0" pivotButton="0" quotePrefix="0" xfId="0"/>
    <xf numFmtId="17" fontId="24" fillId="7" borderId="0" applyAlignment="1" pivotButton="0" quotePrefix="0" xfId="0">
      <alignment horizontal="center"/>
    </xf>
    <xf numFmtId="17" fontId="24" fillId="7" borderId="9" applyAlignment="1" pivotButton="0" quotePrefix="0" xfId="0">
      <alignment horizontal="center"/>
    </xf>
    <xf numFmtId="0" fontId="24" fillId="7" borderId="0" applyAlignment="1" pivotButton="0" quotePrefix="0" xfId="0">
      <alignment horizontal="center"/>
    </xf>
    <xf numFmtId="167" fontId="24" fillId="7" borderId="0" applyAlignment="1" pivotButton="0" quotePrefix="0" xfId="0">
      <alignment horizontal="center"/>
    </xf>
    <xf numFmtId="167" fontId="24" fillId="7" borderId="9" applyAlignment="1" pivotButton="0" quotePrefix="0" xfId="0">
      <alignment horizontal="center"/>
    </xf>
    <xf numFmtId="168" fontId="14" fillId="0" borderId="0" pivotButton="0" quotePrefix="0" xfId="0"/>
    <xf numFmtId="168" fontId="13" fillId="0" borderId="7" pivotButton="0" quotePrefix="0" xfId="0"/>
    <xf numFmtId="0" fontId="13" fillId="5" borderId="7" pivotButton="0" quotePrefix="0" xfId="0"/>
    <xf numFmtId="168" fontId="13" fillId="5" borderId="7" pivotButton="0" quotePrefix="0" xfId="0"/>
    <xf numFmtId="168" fontId="21" fillId="0" borderId="0" pivotButton="0" quotePrefix="0" xfId="0"/>
    <xf numFmtId="0" fontId="21" fillId="7" borderId="0" applyAlignment="1" pivotButton="0" quotePrefix="0" xfId="0">
      <alignment horizontal="center"/>
    </xf>
    <xf numFmtId="168" fontId="14" fillId="0" borderId="3" pivotButton="0" quotePrefix="0" xfId="0"/>
    <xf numFmtId="168" fontId="13" fillId="0" borderId="3" pivotButton="0" quotePrefix="0" xfId="0"/>
    <xf numFmtId="168" fontId="14" fillId="0" borderId="3" applyAlignment="1" pivotButton="0" quotePrefix="0" xfId="0">
      <alignment horizontal="right"/>
    </xf>
    <xf numFmtId="169" fontId="14" fillId="0" borderId="3" applyAlignment="1" pivotButton="0" quotePrefix="0" xfId="0">
      <alignment horizontal="right"/>
    </xf>
    <xf numFmtId="0" fontId="13" fillId="0" borderId="3" pivotButton="0" quotePrefix="0" xfId="0"/>
    <xf numFmtId="170" fontId="14" fillId="0" borderId="3" applyAlignment="1" pivotButton="0" quotePrefix="0" xfId="0">
      <alignment horizontal="right"/>
    </xf>
    <xf numFmtId="168" fontId="25" fillId="8" borderId="3" applyAlignment="1" pivotButton="0" quotePrefix="0" xfId="0">
      <alignment horizontal="right"/>
    </xf>
    <xf numFmtId="171" fontId="14" fillId="0" borderId="3" applyAlignment="1" pivotButton="0" quotePrefix="0" xfId="0">
      <alignment horizontal="right"/>
    </xf>
    <xf numFmtId="0" fontId="19" fillId="4" borderId="0" applyAlignment="1" pivotButton="0" quotePrefix="0" xfId="0">
      <alignment horizontal="center" wrapText="1"/>
    </xf>
    <xf numFmtId="164" fontId="19" fillId="4" borderId="0" applyAlignment="1" pivotButton="0" quotePrefix="0" xfId="0">
      <alignment horizontal="center" wrapText="1"/>
    </xf>
    <xf numFmtId="172" fontId="13" fillId="5" borderId="0" applyAlignment="1" pivotButton="0" quotePrefix="0" xfId="0">
      <alignment horizontal="center"/>
    </xf>
    <xf numFmtId="10" fontId="14" fillId="0" borderId="4" applyAlignment="1" pivotButton="0" quotePrefix="0" xfId="0">
      <alignment horizontal="center"/>
    </xf>
    <xf numFmtId="10" fontId="19" fillId="4" borderId="0" applyAlignment="1" pivotButton="0" quotePrefix="0" xfId="0">
      <alignment horizontal="center" wrapText="1"/>
    </xf>
    <xf numFmtId="164" fontId="14" fillId="0" borderId="4" applyAlignment="1" pivotButton="0" quotePrefix="0" xfId="0">
      <alignment horizontal="center"/>
    </xf>
    <xf numFmtId="173" fontId="14" fillId="0" borderId="4" applyAlignment="1" pivotButton="0" quotePrefix="0" xfId="0">
      <alignment horizontal="center"/>
    </xf>
  </cellXfs>
  <cellStyles count="1">
    <cellStyle name="Normal" xfId="0" builtinId="0"/>
  </cellStyles>
  <dxfs count="6">
    <dxf>
      <fill>
        <patternFill>
          <bgColor rgb="FFF4CCCC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D9EAD3"/>
        </patternFill>
      </fill>
    </dxf>
    <dxf>
      <fill>
        <patternFill patternType="solid">
          <fgColor rgb="00D9EAD3"/>
        </patternFill>
      </fill>
    </dxf>
    <dxf>
      <fill>
        <patternFill patternType="solid">
          <fgColor rgb="00F4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4E95D9"/>
      <rgbColor rgb="FF003300"/>
      <rgbColor rgb="FF333300"/>
      <rgbColor rgb="FF993300"/>
      <rgbColor rgb="FF993366"/>
      <rgbColor rgb="FF333399"/>
      <rgbColor rgb="FF1F3A3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Assumptions'!A1" TargetMode="External" Id="rId1"/><Relationship Type="http://schemas.openxmlformats.org/officeDocument/2006/relationships/hyperlink" Target="#'Comps'!A1" TargetMode="External" Id="rId2"/><Relationship Type="http://schemas.openxmlformats.org/officeDocument/2006/relationships/hyperlink" Target="#'Sources and Uses'!A1" TargetMode="External" Id="rId3"/><Relationship Type="http://schemas.openxmlformats.org/officeDocument/2006/relationships/hyperlink" Target="#'Cash Flow'!A1" TargetMode="External" Id="rId4"/><Relationship Type="http://schemas.openxmlformats.org/officeDocument/2006/relationships/hyperlink" Target="#'Annual Summary'!A1" TargetMode="External" Id="rId5"/><Relationship Type="http://schemas.openxmlformats.org/officeDocument/2006/relationships/hyperlink" Target="#'Returns'!A1" TargetMode="External" Id="rId6"/><Relationship Type="http://schemas.openxmlformats.org/officeDocument/2006/relationships/hyperlink" Target="#'Sensitivity'!A1" TargetMode="External" Id="rId7"/></Relationships>
</file>

<file path=xl/worksheets/sheet1.xml><?xml version="1.0" encoding="utf-8"?>
<worksheet xmlns="http://schemas.openxmlformats.org/spreadsheetml/2006/main">
  <sheetPr>
    <tabColor rgb="009A7B3F"/>
    <outlinePr summaryBelow="1" summaryRight="1"/>
    <pageSetUpPr fitToPage="1"/>
  </sheetPr>
  <dimension ref="B1:F34"/>
  <sheetViews>
    <sheetView showGridLines="0" tabSelected="1" zoomScale="100" workbookViewId="0">
      <selection activeCell="A1" sqref="A1"/>
    </sheetView>
  </sheetViews>
  <sheetFormatPr baseColWidth="8" defaultRowHeight="15"/>
  <cols>
    <col width="2" customWidth="1" min="1" max="1"/>
    <col width="38" customWidth="1" min="2" max="2"/>
    <col width="20" customWidth="1" min="3" max="3"/>
    <col width="3" customWidth="1" min="4" max="4"/>
    <col width="38" customWidth="1" min="5" max="5"/>
    <col width="20" customWidth="1" min="6" max="6"/>
  </cols>
  <sheetData>
    <row r="1" ht="28" customHeight="1">
      <c r="B1" s="56" t="inlineStr">
        <is>
          <t>2051 E Maple Ave, El Segundo  |  Investment Summary</t>
        </is>
      </c>
      <c r="C1" s="57" t="n"/>
      <c r="D1" s="57" t="n"/>
      <c r="E1" s="57" t="n"/>
      <c r="F1" s="57" t="n"/>
    </row>
    <row r="2">
      <c r="B2" s="58" t="inlineStr">
        <is>
          <t>Value-add industrial acquisition  ·  Independent analysis by Shaurya Kalbhor  ·  All figures in USD</t>
        </is>
      </c>
    </row>
    <row r="4">
      <c r="B4" s="59" t="inlineStr">
        <is>
          <t>PROPERTY</t>
        </is>
      </c>
      <c r="C4" s="59" t="n"/>
      <c r="E4" s="59" t="inlineStr">
        <is>
          <t>RETURNS AT ASKING PRICE</t>
        </is>
      </c>
      <c r="F4" s="59" t="n"/>
    </row>
    <row r="5">
      <c r="B5" s="60" t="inlineStr">
        <is>
          <t>Address</t>
        </is>
      </c>
      <c r="C5" s="61">
        <f>Assumptions!C4</f>
        <v/>
      </c>
      <c r="E5" s="60" t="inlineStr">
        <is>
          <t>Total project cost</t>
        </is>
      </c>
      <c r="F5" s="62">
        <f>Returns!C7</f>
        <v/>
      </c>
    </row>
    <row r="6">
      <c r="B6" s="60" t="inlineStr">
        <is>
          <t>Building size (SF)</t>
        </is>
      </c>
      <c r="C6" s="63">
        <f>Assumptions!C5</f>
        <v/>
      </c>
      <c r="E6" s="60" t="inlineStr">
        <is>
          <t>All-in cost per SF</t>
        </is>
      </c>
      <c r="F6" s="64">
        <f>Returns!C8</f>
        <v/>
      </c>
    </row>
    <row r="7">
      <c r="B7" s="60" t="inlineStr">
        <is>
          <t>Land (SF)</t>
        </is>
      </c>
      <c r="C7" s="63">
        <f>Assumptions!C6</f>
        <v/>
      </c>
      <c r="E7" s="60" t="inlineStr">
        <is>
          <t>Stabilized NOI</t>
        </is>
      </c>
      <c r="F7" s="62">
        <f>Returns!C11</f>
        <v/>
      </c>
    </row>
    <row r="8">
      <c r="B8" s="60" t="inlineStr">
        <is>
          <t>Year built</t>
        </is>
      </c>
      <c r="C8" s="65">
        <f>Assumptions!C7</f>
        <v/>
      </c>
      <c r="E8" s="60" t="inlineStr">
        <is>
          <t>Yield on cost</t>
        </is>
      </c>
      <c r="F8" s="66">
        <f>Returns!C12</f>
        <v/>
      </c>
    </row>
    <row r="9">
      <c r="B9" s="60" t="inlineStr">
        <is>
          <t>Asking price</t>
        </is>
      </c>
      <c r="C9" s="62">
        <f>Assumptions!C8</f>
        <v/>
      </c>
      <c r="E9" s="60" t="inlineStr">
        <is>
          <t>Development spread</t>
        </is>
      </c>
      <c r="F9" s="67">
        <f>Returns!C14</f>
        <v/>
      </c>
    </row>
    <row r="10">
      <c r="B10" s="60" t="inlineStr">
        <is>
          <t>Price per SF</t>
        </is>
      </c>
      <c r="C10" s="64">
        <f>Assumptions!C9</f>
        <v/>
      </c>
      <c r="E10" s="60" t="inlineStr">
        <is>
          <t>Unlevered IRR</t>
        </is>
      </c>
      <c r="F10" s="68">
        <f>Returns!C24</f>
        <v/>
      </c>
    </row>
    <row r="11">
      <c r="B11" s="60" t="inlineStr">
        <is>
          <t>Renovated rent ($/SF/mo NNN)</t>
        </is>
      </c>
      <c r="C11" s="69">
        <f>Assumptions!C23</f>
        <v/>
      </c>
      <c r="E11" s="60" t="inlineStr">
        <is>
          <t>Levered IRR</t>
        </is>
      </c>
      <c r="F11" s="70">
        <f>Returns!C30</f>
        <v/>
      </c>
    </row>
    <row r="12">
      <c r="B12" s="60" t="inlineStr">
        <is>
          <t>Exit cap rate</t>
        </is>
      </c>
      <c r="C12" s="67">
        <f>Assumptions!C51</f>
        <v/>
      </c>
      <c r="E12" s="60" t="inlineStr">
        <is>
          <t>Levered equity multiple</t>
        </is>
      </c>
      <c r="F12" s="71">
        <f>Returns!C32</f>
        <v/>
      </c>
    </row>
    <row r="14">
      <c r="B14" s="59" t="inlineStr">
        <is>
          <t>FINANCING</t>
        </is>
      </c>
      <c r="C14" s="59" t="n"/>
      <c r="E14" s="59" t="inlineStr">
        <is>
          <t>PRICING</t>
        </is>
      </c>
      <c r="F14" s="59" t="n"/>
    </row>
    <row r="15">
      <c r="B15" s="60" t="inlineStr">
        <is>
          <t>Loan amount</t>
        </is>
      </c>
      <c r="C15" s="62">
        <f>Returns!C36</f>
        <v/>
      </c>
      <c r="E15" s="60" t="inlineStr">
        <is>
          <t>Target yield on cost</t>
        </is>
      </c>
      <c r="F15" s="67">
        <f>Returns!C42</f>
        <v/>
      </c>
    </row>
    <row r="16">
      <c r="B16" s="60" t="inlineStr">
        <is>
          <t>Loan-to-cost</t>
        </is>
      </c>
      <c r="C16" s="72">
        <f>Assumptions!C44</f>
        <v/>
      </c>
      <c r="E16" s="60" t="inlineStr">
        <is>
          <t>Maximum purchase price</t>
        </is>
      </c>
      <c r="F16" s="73">
        <f>Returns!C43</f>
        <v/>
      </c>
    </row>
    <row r="17">
      <c r="B17" s="60" t="inlineStr">
        <is>
          <t>Interest rate</t>
        </is>
      </c>
      <c r="C17" s="67">
        <f>Assumptions!C45</f>
        <v/>
      </c>
      <c r="E17" s="60" t="inlineStr">
        <is>
          <t>Discount to asking</t>
        </is>
      </c>
      <c r="F17" s="68">
        <f>Returns!C44</f>
        <v/>
      </c>
    </row>
    <row r="18">
      <c r="B18" s="60" t="inlineStr">
        <is>
          <t>Peak equity required</t>
        </is>
      </c>
      <c r="C18" s="62">
        <f>Returns!C33</f>
        <v/>
      </c>
      <c r="E18" s="60" t="inlineStr">
        <is>
          <t>Max price per SF</t>
        </is>
      </c>
      <c r="F18" s="64">
        <f>Returns!C43/Assumptions!C5</f>
        <v/>
      </c>
    </row>
    <row r="19">
      <c r="B19" s="60" t="inlineStr">
        <is>
          <t>DSCR at stabilization</t>
        </is>
      </c>
      <c r="C19" s="71">
        <f>Returns!C38</f>
        <v/>
      </c>
    </row>
    <row r="21">
      <c r="B21" s="59" t="inlineStr">
        <is>
          <t>RECOMMENDATION</t>
        </is>
      </c>
      <c r="C21" s="59" t="n"/>
      <c r="D21" s="59" t="n"/>
      <c r="E21" s="59" t="n"/>
      <c r="F21" s="59" t="n"/>
    </row>
    <row r="22">
      <c r="B22" s="74" t="inlineStr">
        <is>
          <t>Pass at the $10.8M asking price. The renovated building yields ~5.2% on cost, below the 6.0% exit cap and the 6.25% loan rate, so renovation does not create value and leverage lowers returns. Bid ~$8.2M at $2.00 rents, or up to ~$9.5M only if rents reach $2.30 (see Sensitivity). Base-case text; figures above update live.</t>
        </is>
      </c>
    </row>
    <row r="23"/>
    <row r="24"/>
    <row r="25"/>
    <row r="27">
      <c r="B27" s="59" t="inlineStr">
        <is>
          <t>TABS</t>
        </is>
      </c>
      <c r="C27" s="59" t="n"/>
      <c r="D27" s="59" t="n"/>
      <c r="E27" s="59" t="n"/>
      <c r="F27" s="59" t="n"/>
    </row>
    <row r="28">
      <c r="B28" s="75" t="inlineStr">
        <is>
          <t>Assumptions</t>
        </is>
      </c>
      <c r="C28" s="58" t="inlineStr">
        <is>
          <t>All inputs (blue) with sources; live IRR Data Table</t>
        </is>
      </c>
    </row>
    <row r="29">
      <c r="B29" s="75" t="inlineStr">
        <is>
          <t>Comps</t>
        </is>
      </c>
      <c r="C29" s="58" t="inlineStr">
        <is>
          <t>Three NNN rent comps and subject rent conclusion</t>
        </is>
      </c>
    </row>
    <row r="30">
      <c r="B30" s="75" t="inlineStr">
        <is>
          <t>Sources and Uses</t>
        </is>
      </c>
      <c r="C30" s="58" t="inlineStr">
        <is>
          <t>Project budget and capital stack</t>
        </is>
      </c>
    </row>
    <row r="31">
      <c r="B31" s="75" t="inlineStr">
        <is>
          <t>Cash Flow</t>
        </is>
      </c>
      <c r="C31" s="58" t="inlineStr">
        <is>
          <t>Monthly cash flow, months 0–60</t>
        </is>
      </c>
    </row>
    <row r="32">
      <c r="B32" s="75" t="inlineStr">
        <is>
          <t>Annual Summary</t>
        </is>
      </c>
      <c r="C32" s="58" t="inlineStr">
        <is>
          <t>Years 1–5 rolled up</t>
        </is>
      </c>
    </row>
    <row r="33">
      <c r="B33" s="75" t="inlineStr">
        <is>
          <t>Returns</t>
        </is>
      </c>
      <c r="C33" s="58" t="inlineStr">
        <is>
          <t>IRR, multiples, debt metrics, maximum price</t>
        </is>
      </c>
    </row>
    <row r="34">
      <c r="B34" s="75" t="inlineStr">
        <is>
          <t>Sensitivity</t>
        </is>
      </c>
      <c r="C34" s="58" t="inlineStr">
        <is>
          <t>Yield on cost, maximum price and IRR grids</t>
        </is>
      </c>
    </row>
  </sheetData>
  <mergeCells count="1">
    <mergeCell ref="B22:F25"/>
  </mergeCells>
  <hyperlinks>
    <hyperlink xmlns:r="http://schemas.openxmlformats.org/officeDocument/2006/relationships" ref="B28" r:id="rId1"/>
    <hyperlink xmlns:r="http://schemas.openxmlformats.org/officeDocument/2006/relationships" ref="B29" r:id="rId2"/>
    <hyperlink xmlns:r="http://schemas.openxmlformats.org/officeDocument/2006/relationships" ref="B30" r:id="rId3"/>
    <hyperlink xmlns:r="http://schemas.openxmlformats.org/officeDocument/2006/relationships" ref="B31" r:id="rId4"/>
    <hyperlink xmlns:r="http://schemas.openxmlformats.org/officeDocument/2006/relationships" ref="B32" r:id="rId5"/>
    <hyperlink xmlns:r="http://schemas.openxmlformats.org/officeDocument/2006/relationships" ref="B33" r:id="rId6"/>
    <hyperlink xmlns:r="http://schemas.openxmlformats.org/officeDocument/2006/relationships" ref="B34" r:id="rId7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9A7B3F"/>
    <outlinePr summaryBelow="1" summaryRight="1"/>
    <pageSetUpPr fitToPage="1"/>
  </sheetPr>
  <dimension ref="A1:K59"/>
  <sheetViews>
    <sheetView showGridLines="0" tabSelected="0" zoomScale="100" zoomScaleNormal="83" workbookViewId="0">
      <pane ySplit="2" topLeftCell="A3" activePane="bottomLeft" state="frozen"/>
      <selection pane="bottomLeft" activeCell="J24" sqref="J24"/>
    </sheetView>
  </sheetViews>
  <sheetFormatPr baseColWidth="10" defaultColWidth="10.5" defaultRowHeight="16"/>
  <cols>
    <col width="2" customWidth="1" min="1" max="1"/>
    <col width="36" customWidth="1" min="2" max="2"/>
    <col width="20" customWidth="1" style="2" min="3" max="3"/>
    <col width="64" customWidth="1" min="4" max="4"/>
    <col width="3" customWidth="1" min="5" max="5"/>
    <col width="12" customWidth="1" min="6" max="6"/>
    <col width="14" bestFit="1" customWidth="1" min="7" max="9"/>
    <col width="14" customWidth="1" min="8" max="8"/>
    <col width="14" customWidth="1" min="9" max="9"/>
    <col width="14" bestFit="1" customWidth="1" min="10" max="11"/>
    <col width="14" customWidth="1" min="11" max="11"/>
  </cols>
  <sheetData>
    <row r="1" ht="28" customHeight="1">
      <c r="A1" s="76" t="n"/>
      <c r="B1" s="56" t="inlineStr">
        <is>
          <t>2051 E Maple Ave, El Segundo  |  Value-Add Underwriting</t>
        </is>
      </c>
      <c r="C1" s="57" t="n"/>
      <c r="D1" s="57" t="n"/>
    </row>
    <row r="2" ht="19.5" customHeight="1">
      <c r="A2" s="76" t="n"/>
      <c r="B2" s="77" t="inlineStr">
        <is>
          <t>ASSUMPTION</t>
        </is>
      </c>
      <c r="C2" s="78" t="inlineStr">
        <is>
          <t>VALUE</t>
        </is>
      </c>
      <c r="D2" s="78" t="inlineStr">
        <is>
          <t>NOTES / SOURCE</t>
        </is>
      </c>
      <c r="F2" s="59" t="inlineStr">
        <is>
          <t>LEVERED IRR  |  Rent ($/SF/mo) ↓  ×  Purchase price →</t>
        </is>
      </c>
      <c r="G2" s="59" t="n"/>
      <c r="H2" s="59" t="n"/>
      <c r="I2" s="59" t="n"/>
      <c r="J2" s="59" t="n"/>
      <c r="K2" s="59" t="n"/>
    </row>
    <row r="3">
      <c r="B3" s="59" t="inlineStr">
        <is>
          <t>PROPERTY</t>
        </is>
      </c>
      <c r="C3" s="59" t="n"/>
      <c r="D3" s="59" t="n"/>
      <c r="F3" s="79">
        <f>Returns!C30</f>
        <v/>
      </c>
      <c r="G3" s="80" t="n">
        <v>8500000</v>
      </c>
      <c r="H3" s="80" t="n">
        <v>9000000</v>
      </c>
      <c r="I3" s="80" t="n">
        <v>9500000</v>
      </c>
      <c r="J3" s="80" t="n">
        <v>10000000</v>
      </c>
      <c r="K3" s="80" t="n">
        <v>10800000</v>
      </c>
    </row>
    <row r="4">
      <c r="B4" s="60" t="inlineStr">
        <is>
          <t>ADDRESS</t>
        </is>
      </c>
      <c r="C4" s="81" t="inlineStr">
        <is>
          <t>2051 E Maple Ave, El Segundo</t>
        </is>
      </c>
      <c r="D4" s="82" t="n"/>
      <c r="E4" s="83" t="n"/>
      <c r="F4" s="84" t="n">
        <v>1.8</v>
      </c>
      <c r="G4" s="85">
        <f t="dataTable" ref="G4:K9" dt2D="1" dtr="1" r1="C8" r2="C23"/>
        <v/>
      </c>
      <c r="H4" s="85" t="n">
        <v>0.02378289997577667</v>
      </c>
      <c r="I4" s="85" t="n">
        <v>0.001061704754829407</v>
      </c>
      <c r="J4" s="85" t="n">
        <v>-0.0213389128446579</v>
      </c>
      <c r="K4" s="85" t="n">
        <v>-0.05682633221149444</v>
      </c>
    </row>
    <row r="5">
      <c r="B5" s="60" t="inlineStr">
        <is>
          <t>BUILDING SF</t>
        </is>
      </c>
      <c r="C5" s="86" t="n">
        <v>32081</v>
      </c>
      <c r="D5" s="82" t="inlineStr">
        <is>
          <t>LoopNet / Colliers brochure</t>
        </is>
      </c>
      <c r="F5" s="84" t="n">
        <v>1.9</v>
      </c>
      <c r="G5" s="85" t="n">
        <v>0.07337737381458284</v>
      </c>
      <c r="H5" s="85" t="n">
        <v>0.05082580149173736</v>
      </c>
      <c r="I5" s="85" t="n">
        <v>0.02882177531719208</v>
      </c>
      <c r="J5" s="85" t="n">
        <v>0.0072444885969162</v>
      </c>
      <c r="K5" s="85" t="n">
        <v>-0.02666959017515183</v>
      </c>
    </row>
    <row r="6">
      <c r="B6" s="60" t="inlineStr">
        <is>
          <t>LAND SF</t>
        </is>
      </c>
      <c r="C6" s="86" t="n">
        <v>52272</v>
      </c>
      <c r="D6" s="82" t="inlineStr">
        <is>
          <t>1.20 AC per LoopNet</t>
        </is>
      </c>
      <c r="F6" s="84" t="n">
        <v>2</v>
      </c>
      <c r="G6" s="85" t="n">
        <v>0.09784253239631652</v>
      </c>
      <c r="H6" s="85" t="n">
        <v>0.07576477825641632</v>
      </c>
      <c r="I6" s="85" t="n">
        <v>0.05430857837200165</v>
      </c>
      <c r="J6" s="85" t="n">
        <v>0.03335911929607392</v>
      </c>
      <c r="K6" s="85" t="n">
        <v>0.0006365686655044557</v>
      </c>
    </row>
    <row r="7">
      <c r="B7" s="60" t="inlineStr">
        <is>
          <t>YEAR BUILT</t>
        </is>
      </c>
      <c r="C7" s="81" t="n">
        <v>1953</v>
      </c>
      <c r="D7" s="82" t="inlineStr">
        <is>
          <t>LoopNet; Class C</t>
        </is>
      </c>
      <c r="F7" s="84" t="n">
        <v>2.1</v>
      </c>
      <c r="G7" s="85" t="n">
        <v>0.120668238401413</v>
      </c>
      <c r="H7" s="85" t="n">
        <v>0.09895491003990173</v>
      </c>
      <c r="I7" s="85" t="n">
        <v>0.07792250812053682</v>
      </c>
      <c r="J7" s="85" t="n">
        <v>0.0574596256017685</v>
      </c>
      <c r="K7" s="85" t="n">
        <v>0.02565847933292389</v>
      </c>
    </row>
    <row r="8">
      <c r="B8" s="60" t="inlineStr">
        <is>
          <t>PURCHASE PRICE</t>
        </is>
      </c>
      <c r="C8" s="87" t="n">
        <v>10800000</v>
      </c>
      <c r="D8" s="82" t="inlineStr">
        <is>
          <t>LoopNet asking price; on market since 4/13/2023</t>
        </is>
      </c>
      <c r="F8" s="84" t="n">
        <v>2.2</v>
      </c>
      <c r="G8" s="85" t="n">
        <v>0.1420979678630829</v>
      </c>
      <c r="H8" s="85" t="n">
        <v>0.1206658065319061</v>
      </c>
      <c r="I8" s="85" t="n">
        <v>0.09996374249458315</v>
      </c>
      <c r="J8" s="85" t="n">
        <v>0.07988218367099764</v>
      </c>
      <c r="K8" s="85" t="n">
        <v>0.04880438148975372</v>
      </c>
    </row>
    <row r="9">
      <c r="B9" s="60" t="inlineStr">
        <is>
          <t>PRICE PER BUILDING SF</t>
        </is>
      </c>
      <c r="C9" s="88">
        <f>C8/C5</f>
        <v/>
      </c>
      <c r="D9" s="82" t="n"/>
      <c r="F9" s="84" t="n">
        <v>2.3</v>
      </c>
      <c r="G9" s="85" t="n">
        <v>0.1623231112957001</v>
      </c>
      <c r="H9" s="85" t="n">
        <v>0.1411073744297028</v>
      </c>
      <c r="I9" s="85" t="n">
        <v>0.1206635892391205</v>
      </c>
      <c r="J9" s="85" t="n">
        <v>0.1008828580379486</v>
      </c>
      <c r="K9" s="85" t="n">
        <v>0.07037898600101469</v>
      </c>
    </row>
    <row r="10">
      <c r="B10" s="60" t="inlineStr">
        <is>
          <t>CLOSING COSTS (%)</t>
        </is>
      </c>
      <c r="C10" s="89" t="n">
        <v>0.02</v>
      </c>
      <c r="D10" s="82" t="inlineStr">
        <is>
          <t>Estimate: title, escrow, legal, due diligence</t>
        </is>
      </c>
    </row>
    <row r="11">
      <c r="B11" s="60" t="inlineStr">
        <is>
          <t>CLOSING COSTS ($)</t>
        </is>
      </c>
      <c r="C11" s="88">
        <f>C8*C10</f>
        <v/>
      </c>
      <c r="D11" s="82" t="n"/>
      <c r="F11" s="58" t="inlineStr">
        <is>
          <t>Excel Data Table (Data → What-If Analysis). Base case: $2.00 rent, $10.8M price.</t>
        </is>
      </c>
    </row>
    <row r="12">
      <c r="B12" s="60" t="inlineStr">
        <is>
          <t xml:space="preserve">ANALYSIS  DATE </t>
        </is>
      </c>
      <c r="C12" s="90" t="n">
        <v>46631</v>
      </c>
      <c r="D12" s="82" t="inlineStr">
        <is>
          <t>Assumed closing date</t>
        </is>
      </c>
    </row>
    <row r="13"/>
    <row r="14">
      <c r="B14" s="59" t="inlineStr">
        <is>
          <t>RENOVATION</t>
        </is>
      </c>
      <c r="C14" s="59" t="n"/>
      <c r="D14" s="59" t="n"/>
    </row>
    <row r="15">
      <c r="B15" s="60" t="inlineStr">
        <is>
          <t>RENOVATION COST /SF</t>
        </is>
      </c>
      <c r="C15" s="87" t="n">
        <v>50</v>
      </c>
      <c r="D15" s="82" t="inlineStr">
        <is>
          <t>Estimate for 1953 Class C (roof, HVAC, power, office, seismic check); verify with contractor bids</t>
        </is>
      </c>
    </row>
    <row r="16">
      <c r="B16" s="60" t="inlineStr">
        <is>
          <t xml:space="preserve"> RENOVATION BUDGET</t>
        </is>
      </c>
      <c r="C16" s="88">
        <f>C15*C5</f>
        <v/>
      </c>
      <c r="D16" s="82" t="n"/>
    </row>
    <row r="17">
      <c r="B17" s="60" t="inlineStr">
        <is>
          <t>CONTINGENCY (%)</t>
        </is>
      </c>
      <c r="C17" s="89" t="n">
        <v>0.1</v>
      </c>
      <c r="D17" s="82" t="inlineStr">
        <is>
          <t>Standard contingency for older building</t>
        </is>
      </c>
    </row>
    <row r="18">
      <c r="B18" s="60" t="inlineStr">
        <is>
          <t>CONTINGENCY ($)</t>
        </is>
      </c>
      <c r="C18" s="88">
        <f>C16*C17</f>
        <v/>
      </c>
      <c r="D18" s="82" t="n"/>
    </row>
    <row r="19">
      <c r="B19" s="60" t="inlineStr">
        <is>
          <t>TOTAL RENOVATION</t>
        </is>
      </c>
      <c r="C19" s="88">
        <f>C16+C18</f>
        <v/>
      </c>
      <c r="D19" s="82" t="n"/>
    </row>
    <row r="20">
      <c r="B20" s="60" t="inlineStr">
        <is>
          <t>RENOVATION MONTHS</t>
        </is>
      </c>
      <c r="C20" s="81" t="n">
        <v>6</v>
      </c>
      <c r="D20" s="82" t="inlineStr">
        <is>
          <t>Assumed renovation schedule</t>
        </is>
      </c>
    </row>
    <row r="21"/>
    <row r="22">
      <c r="B22" s="59" t="inlineStr">
        <is>
          <t xml:space="preserve">LEASING </t>
        </is>
      </c>
      <c r="C22" s="59" t="n"/>
      <c r="D22" s="59" t="n"/>
    </row>
    <row r="23">
      <c r="B23" s="60" t="inlineStr">
        <is>
          <t xml:space="preserve"> RENT($/SF/MO,NNN)</t>
        </is>
      </c>
      <c r="C23" s="91" t="n">
        <v>2</v>
      </c>
      <c r="D23" s="82" t="inlineStr">
        <is>
          <t>Linked to Comps tab: avg of 3 NNN asking comps = $1.98</t>
        </is>
      </c>
    </row>
    <row r="24">
      <c r="B24" s="60" t="inlineStr">
        <is>
          <t xml:space="preserve"> RENT GROWTH</t>
        </is>
      </c>
      <c r="C24" s="92" t="n">
        <v>0.035</v>
      </c>
      <c r="D24" s="82" t="inlineStr">
        <is>
          <t>Typical LA industrial annual escalator (3-4%)</t>
        </is>
      </c>
    </row>
    <row r="25">
      <c r="B25" s="60" t="inlineStr">
        <is>
          <t>LEASE TERM (MONTHS)</t>
        </is>
      </c>
      <c r="C25" s="81" t="n">
        <v>60</v>
      </c>
      <c r="D25" s="82" t="inlineStr">
        <is>
          <t>5-year lease, matches comp terms</t>
        </is>
      </c>
    </row>
    <row r="26">
      <c r="B26" s="60" t="inlineStr">
        <is>
          <t>LEASE UP MONTHS (AFTER RENO)</t>
        </is>
      </c>
      <c r="C26" s="81" t="n">
        <v>6</v>
      </c>
      <c r="D26" s="82" t="inlineStr">
        <is>
          <t>Conservative: 3 nearby comps currently vacant</t>
        </is>
      </c>
    </row>
    <row r="27">
      <c r="B27" s="60" t="inlineStr">
        <is>
          <t>FREE RENT (MONTHS)</t>
        </is>
      </c>
      <c r="C27" s="81" t="n">
        <v>3</v>
      </c>
      <c r="D27" s="82" t="inlineStr">
        <is>
          <t>Typical concession for 5-year lease</t>
        </is>
      </c>
    </row>
    <row r="28">
      <c r="B28" s="60" t="inlineStr">
        <is>
          <t>TENANT IMPROV. ($/SF)</t>
        </is>
      </c>
      <c r="C28" s="87" t="n">
        <v>10</v>
      </c>
      <c r="D28" s="82" t="inlineStr">
        <is>
          <t>Allowance for tenant fit-out</t>
        </is>
      </c>
    </row>
    <row r="29">
      <c r="B29" s="60" t="inlineStr">
        <is>
          <t>LEASING COMMIS. (% OF BASE RENT)</t>
        </is>
      </c>
      <c r="C29" s="89" t="n">
        <v>0.05</v>
      </c>
      <c r="D29" s="82" t="inlineStr">
        <is>
          <t>% of total base rent over lease term (simplified, no escalations)</t>
        </is>
      </c>
    </row>
    <row r="30">
      <c r="B30" s="60" t="inlineStr">
        <is>
          <t>LEASE START (MONTH)</t>
        </is>
      </c>
      <c r="C30" s="93">
        <f>C20+C26+1</f>
        <v/>
      </c>
      <c r="D30" s="82" t="inlineStr">
        <is>
          <t>Formula: renovation + lease-up + 1</t>
        </is>
      </c>
    </row>
    <row r="31">
      <c r="B31" s="60" t="inlineStr">
        <is>
          <t>RENT START MONTH</t>
        </is>
      </c>
      <c r="C31" s="93">
        <f>C30+C27</f>
        <v/>
      </c>
      <c r="D31" s="82" t="inlineStr">
        <is>
          <t>Formula: lease start + free rent</t>
        </is>
      </c>
    </row>
    <row r="32"/>
    <row r="33">
      <c r="B33" s="59" t="inlineStr">
        <is>
          <t xml:space="preserve">OPERATING COST </t>
        </is>
      </c>
      <c r="C33" s="59" t="n"/>
      <c r="D33" s="59" t="n"/>
    </row>
    <row r="34">
      <c r="B34" s="60" t="inlineStr">
        <is>
          <t>PROPERTY TAX RATE</t>
        </is>
      </c>
      <c r="C34" s="92" t="n">
        <v>0.012</v>
      </c>
      <c r="D34" s="82" t="inlineStr">
        <is>
          <t>~1.1-1.2% of purchase price; CA reassesses at sale (Prop 13)</t>
        </is>
      </c>
    </row>
    <row r="35">
      <c r="B35" s="60" t="inlineStr">
        <is>
          <t>PROPERTY TAX ($/YR)</t>
        </is>
      </c>
      <c r="C35" s="88">
        <f>C8*C34</f>
        <v/>
      </c>
      <c r="D35" s="82" t="n"/>
    </row>
    <row r="36">
      <c r="B36" s="60" t="inlineStr">
        <is>
          <t>INSURANCE ($/SF/YR)</t>
        </is>
      </c>
      <c r="C36" s="94" t="n">
        <v>0.75</v>
      </c>
      <c r="D36" s="82" t="inlineStr">
        <is>
          <t>Placeholder; verify with insurance quote</t>
        </is>
      </c>
    </row>
    <row r="37">
      <c r="B37" s="60" t="inlineStr">
        <is>
          <t>MAINTENANCE ($/SF/YR)</t>
        </is>
      </c>
      <c r="C37" s="94" t="n">
        <v>0.75</v>
      </c>
      <c r="D37" s="82" t="inlineStr">
        <is>
          <t>Placeholder; verify</t>
        </is>
      </c>
    </row>
    <row r="38">
      <c r="B38" s="60" t="inlineStr">
        <is>
          <t>TOTAL EXPENSE ($/SF/MO)</t>
        </is>
      </c>
      <c r="C38" s="95">
        <f>(C35/C5+C36+C37)/12</f>
        <v/>
      </c>
      <c r="D38" s="82" t="inlineStr">
        <is>
          <t>Paid by owner while vacant; reimbursed by tenant under NNN lease</t>
        </is>
      </c>
    </row>
    <row r="39">
      <c r="B39" s="60" t="inlineStr">
        <is>
          <t>MANAGEMENT FEES</t>
        </is>
      </c>
      <c r="C39" s="89" t="n">
        <v>0.03</v>
      </c>
      <c r="D39" s="82" t="inlineStr">
        <is>
          <t>% of base rent; not reimbursed</t>
        </is>
      </c>
    </row>
    <row r="40">
      <c r="B40" s="60" t="inlineStr">
        <is>
          <t>RESERVES ($/SF/YR)</t>
        </is>
      </c>
      <c r="C40" s="94" t="n">
        <v>0.15</v>
      </c>
      <c r="D40" s="82" t="inlineStr">
        <is>
          <t>Capital reserves; not reimbursed</t>
        </is>
      </c>
    </row>
    <row r="41">
      <c r="B41" s="60" t="inlineStr">
        <is>
          <t>VACANCY AND CL</t>
        </is>
      </c>
      <c r="C41" s="89" t="n">
        <v>0.05</v>
      </c>
      <c r="D41" s="82" t="inlineStr">
        <is>
          <t>General vacancy / credit allowance after lease-up</t>
        </is>
      </c>
    </row>
    <row r="42"/>
    <row r="43">
      <c r="B43" s="59" t="inlineStr">
        <is>
          <t>FINANCING</t>
        </is>
      </c>
      <c r="C43" s="59" t="n"/>
      <c r="D43" s="59" t="n"/>
    </row>
    <row r="44">
      <c r="B44" s="60" t="inlineStr">
        <is>
          <t>LOAN TO COST</t>
        </is>
      </c>
      <c r="C44" s="89" t="n">
        <v>0.55</v>
      </c>
      <c r="D44" s="82" t="inlineStr">
        <is>
          <t>Loan sized on total cost before financing</t>
        </is>
      </c>
    </row>
    <row r="45">
      <c r="B45" s="60" t="inlineStr">
        <is>
          <t>INTEREST RATE</t>
        </is>
      </c>
      <c r="C45" s="92" t="n">
        <v>0.0625</v>
      </c>
      <c r="D45" s="82" t="inlineStr">
        <is>
          <t>Placeholder; verify with lender quotes</t>
        </is>
      </c>
    </row>
    <row r="46">
      <c r="B46" s="60" t="inlineStr">
        <is>
          <t>LOAN TYPE</t>
        </is>
      </c>
      <c r="C46" s="81" t="inlineStr">
        <is>
          <t>INTEREST ONLY</t>
        </is>
      </c>
      <c r="D46" s="82" t="inlineStr">
        <is>
          <t>Full loan funded at closing (simplification)</t>
        </is>
      </c>
    </row>
    <row r="47">
      <c r="B47" s="60" t="inlineStr">
        <is>
          <t>LOAN FEE</t>
        </is>
      </c>
      <c r="C47" s="89" t="n">
        <v>0.01</v>
      </c>
      <c r="D47" s="82" t="inlineStr">
        <is>
          <t>Lender origination fee</t>
        </is>
      </c>
    </row>
    <row r="48"/>
    <row r="49">
      <c r="B49" s="59" t="inlineStr">
        <is>
          <t>EXIT</t>
        </is>
      </c>
      <c r="C49" s="59" t="n"/>
      <c r="D49" s="59" t="n"/>
    </row>
    <row r="50">
      <c r="B50" s="60" t="inlineStr">
        <is>
          <t>HOLD PERIOD (MONTHS)</t>
        </is>
      </c>
      <c r="C50" s="81" t="n">
        <v>60</v>
      </c>
      <c r="D50" s="82" t="inlineStr">
        <is>
          <t>5-year hold</t>
        </is>
      </c>
    </row>
    <row r="51">
      <c r="B51" s="60" t="inlineStr">
        <is>
          <t>EXIT CAP RATE</t>
        </is>
      </c>
      <c r="C51" s="92" t="n">
        <v>0.06</v>
      </c>
      <c r="D51" s="82" t="inlineStr">
        <is>
          <t>Q2 2026 broker reports: LA industrial caps mid-5% to 6%</t>
        </is>
      </c>
    </row>
    <row r="52">
      <c r="B52" s="60" t="inlineStr">
        <is>
          <t>SELLING COSTS</t>
        </is>
      </c>
      <c r="C52" s="92" t="n">
        <v>0.02</v>
      </c>
      <c r="D52" s="82" t="inlineStr">
        <is>
          <t>Broker fee + transfer costs</t>
        </is>
      </c>
    </row>
    <row r="53"/>
    <row r="54">
      <c r="B54" s="59" t="inlineStr">
        <is>
          <t>RETURN TARGET</t>
        </is>
      </c>
      <c r="C54" s="59" t="n"/>
      <c r="D54" s="59" t="n"/>
    </row>
    <row r="55">
      <c r="B55" s="60" t="inlineStr">
        <is>
          <t>TARGET YIELD ON COST</t>
        </is>
      </c>
      <c r="C55" s="92" t="n">
        <v>0.065</v>
      </c>
      <c r="D55" s="82" t="inlineStr">
        <is>
          <t>~50 bps over exit cap to compensate for lease-up and renovation risk</t>
        </is>
      </c>
    </row>
    <row r="57">
      <c r="B57" s="59" t="inlineStr">
        <is>
          <t>LEGEND</t>
        </is>
      </c>
      <c r="C57" s="59" t="n"/>
      <c r="D57" s="59" t="n"/>
    </row>
    <row r="58">
      <c r="B58" s="83" t="inlineStr">
        <is>
          <t>Input (edit these)</t>
        </is>
      </c>
      <c r="C58" s="96" t="n">
        <v>1</v>
      </c>
    </row>
    <row r="59">
      <c r="B59" s="83" t="inlineStr">
        <is>
          <t>Formula (do not edit)</t>
        </is>
      </c>
      <c r="C59" s="97">
        <f>C58</f>
        <v/>
      </c>
    </row>
  </sheetData>
  <conditionalFormatting sqref="G4:K9">
    <cfRule type="cellIs" priority="1" operator="greaterThanOrEqual" dxfId="1">
      <formula>0.12</formula>
    </cfRule>
    <cfRule type="cellIs" priority="2" operator="lessThan" dxfId="0">
      <formula>0.06</formula>
    </cfRule>
  </conditionalFormatting>
  <pageMargins left="0.7" right="0.7" top="0.75" bottom="0.75" header="0.511811023622047" footer="0.511811023622047"/>
  <pageSetup orientation="landscape" paperSize="9" fitToHeight="0" fitToWidth="1" horizontalDpi="300" verticalDpi="300"/>
</worksheet>
</file>

<file path=xl/worksheets/sheet3.xml><?xml version="1.0" encoding="utf-8"?>
<worksheet xmlns="http://schemas.openxmlformats.org/spreadsheetml/2006/main">
  <sheetPr>
    <tabColor rgb="009A7B3F"/>
    <outlinePr summaryBelow="1" summaryRight="1"/>
    <pageSetUpPr fitToPage="1"/>
  </sheetPr>
  <dimension ref="A1:M9"/>
  <sheetViews>
    <sheetView showGridLines="0" tabSelected="0" zoomScale="100" zoomScaleNormal="100" workbookViewId="0">
      <pane xSplit="1" ySplit="1" topLeftCell="B2" activePane="bottomRight" state="frozen"/>
      <selection pane="topRight"/>
      <selection pane="bottomLeft"/>
      <selection pane="bottomRight" activeCell="I7" sqref="I7"/>
    </sheetView>
  </sheetViews>
  <sheetFormatPr baseColWidth="10" defaultColWidth="10.5" defaultRowHeight="16"/>
  <cols>
    <col width="26" customWidth="1" min="1" max="1"/>
    <col width="13" customWidth="1" min="2" max="2"/>
    <col width="9" customWidth="1" min="3" max="3"/>
    <col width="11" customWidth="1" style="18" min="4" max="4"/>
    <col width="17" customWidth="1" min="5" max="5"/>
    <col width="14" customWidth="1" min="6" max="6"/>
    <col width="12" customWidth="1" style="18" min="7" max="7"/>
    <col width="22" customWidth="1" style="19" min="8" max="8"/>
    <col width="13" customWidth="1" style="20" min="9" max="9"/>
    <col width="10" customWidth="1" min="10" max="10"/>
    <col width="15" customWidth="1" min="11" max="11"/>
    <col width="15" customWidth="1" min="12" max="12"/>
    <col width="50" customWidth="1" min="13" max="13"/>
  </cols>
  <sheetData>
    <row r="1" ht="30" customHeight="1">
      <c r="A1" s="77" t="inlineStr">
        <is>
          <t>ADDRESS</t>
        </is>
      </c>
      <c r="B1" s="78" t="inlineStr">
        <is>
          <t>SUBMARKET</t>
        </is>
      </c>
      <c r="C1" s="78" t="inlineStr">
        <is>
          <t>ZONING</t>
        </is>
      </c>
      <c r="D1" s="98" t="inlineStr">
        <is>
          <t>SPACE SF</t>
        </is>
      </c>
      <c r="E1" s="78" t="inlineStr">
        <is>
          <t>YEAR BUILT</t>
        </is>
      </c>
      <c r="F1" s="78" t="inlineStr">
        <is>
          <t>CLEAR HEIGHT</t>
        </is>
      </c>
      <c r="G1" s="98" t="inlineStr">
        <is>
          <t>POWER (AMPS)</t>
        </is>
      </c>
      <c r="H1" s="99" t="inlineStr">
        <is>
          <t>OFFICE %</t>
        </is>
      </c>
      <c r="I1" s="100" t="inlineStr">
        <is>
          <t>ASKING RENT</t>
        </is>
      </c>
      <c r="J1" s="78" t="inlineStr">
        <is>
          <t>RENT TYPE</t>
        </is>
      </c>
      <c r="K1" s="78" t="inlineStr">
        <is>
          <t>TERM</t>
        </is>
      </c>
      <c r="L1" s="78" t="inlineStr">
        <is>
          <t>ASKING OR SIGNED</t>
        </is>
      </c>
      <c r="M1" s="78" t="inlineStr">
        <is>
          <t>NOTES</t>
        </is>
      </c>
    </row>
    <row r="2">
      <c r="A2" s="101" t="inlineStr">
        <is>
          <t>1924 E Maple Ave</t>
        </is>
      </c>
      <c r="B2" s="101" t="inlineStr">
        <is>
          <t>EL SEGUNDO</t>
        </is>
      </c>
      <c r="C2" s="102" t="inlineStr">
        <is>
          <t>CO</t>
        </is>
      </c>
      <c r="D2" s="103" t="n">
        <v>15650</v>
      </c>
      <c r="E2" s="102" t="inlineStr">
        <is>
          <t>1955 (renov. 2025)</t>
        </is>
      </c>
      <c r="F2" s="102" t="inlineStr">
        <is>
          <t>13'</t>
        </is>
      </c>
      <c r="G2" s="103" t="n">
        <v>1600</v>
      </c>
      <c r="H2" s="104" t="n">
        <v>0.13</v>
      </c>
      <c r="I2" s="105" t="n">
        <v>2.3</v>
      </c>
      <c r="J2" s="102" t="inlineStr">
        <is>
          <t>NNN</t>
        </is>
      </c>
      <c r="K2" s="102" t="inlineStr">
        <is>
          <t>5 YRS</t>
        </is>
      </c>
      <c r="L2" s="102" t="inlineStr">
        <is>
          <t>ASKING</t>
        </is>
      </c>
      <c r="M2" s="106" t="inlineStr">
        <is>
          <t>Renovated 2025; 52 parking spaces</t>
        </is>
      </c>
    </row>
    <row r="3">
      <c r="A3" s="107" t="inlineStr">
        <is>
          <t>4928 W Rosecrans</t>
        </is>
      </c>
      <c r="B3" s="107" t="inlineStr">
        <is>
          <t>HAWTHORNE</t>
        </is>
      </c>
      <c r="C3" s="108" t="inlineStr">
        <is>
          <t>M2</t>
        </is>
      </c>
      <c r="D3" s="109" t="n">
        <v>21252</v>
      </c>
      <c r="E3" s="108" t="n">
        <v>1979</v>
      </c>
      <c r="F3" s="108" t="inlineStr">
        <is>
          <t>22'</t>
        </is>
      </c>
      <c r="G3" s="109" t="n">
        <v>400</v>
      </c>
      <c r="H3" s="110" t="n">
        <v>0.22</v>
      </c>
      <c r="I3" s="111" t="n">
        <v>1.89</v>
      </c>
      <c r="J3" s="108" t="inlineStr">
        <is>
          <t>NNN</t>
        </is>
      </c>
      <c r="K3" s="108" t="inlineStr">
        <is>
          <t>5 YRS</t>
        </is>
      </c>
      <c r="L3" s="108" t="inlineStr">
        <is>
          <t>ASKING</t>
        </is>
      </c>
      <c r="M3" s="112" t="inlineStr">
        <is>
          <t>Exterior renovated; multi-tenant park; low power</t>
        </is>
      </c>
    </row>
    <row r="4">
      <c r="A4" s="101" t="inlineStr">
        <is>
          <t>1921 E Mariposa Ave</t>
        </is>
      </c>
      <c r="B4" s="101" t="inlineStr">
        <is>
          <t>EL SEGUNDO</t>
        </is>
      </c>
      <c r="C4" s="102" t="inlineStr">
        <is>
          <t>CO</t>
        </is>
      </c>
      <c r="D4" s="103" t="n">
        <v>62081</v>
      </c>
      <c r="E4" s="102" t="n">
        <v>1963</v>
      </c>
      <c r="F4" s="102" t="inlineStr">
        <is>
          <t>16-20' (EST)</t>
        </is>
      </c>
      <c r="G4" s="103" t="n">
        <v>2000</v>
      </c>
      <c r="H4" s="104" t="inlineStr">
        <is>
          <t>N/A</t>
        </is>
      </c>
      <c r="I4" s="105" t="n">
        <v>1.76</v>
      </c>
      <c r="J4" s="102" t="inlineStr">
        <is>
          <t>NNN</t>
        </is>
      </c>
      <c r="K4" s="102" t="inlineStr">
        <is>
          <t>SHORT TERM OK</t>
        </is>
      </c>
      <c r="L4" s="102" t="inlineStr">
        <is>
          <t>ASKING</t>
        </is>
      </c>
      <c r="M4" s="106" t="inlineStr">
        <is>
          <t>Heavy power; land size differs (2.00 vs 2.92 AC)</t>
        </is>
      </c>
    </row>
    <row r="5"/>
    <row r="6">
      <c r="H6" s="113" t="inlineStr">
        <is>
          <t>Average asking rent</t>
        </is>
      </c>
      <c r="I6" s="114">
        <f>AVERAGE(I2:I4)</f>
        <v/>
      </c>
    </row>
    <row r="7">
      <c r="H7" s="113" t="inlineStr">
        <is>
          <t>Subject rent (renovated)</t>
        </is>
      </c>
      <c r="I7" s="84">
        <f>Assumptions!C23</f>
        <v/>
      </c>
      <c r="M7" s="58" t="inlineStr">
        <is>
          <t>Avg of comps; renovated condition offsets lower clear height and parking; M2 zoning a modest advantage</t>
        </is>
      </c>
    </row>
    <row r="9">
      <c r="A9" s="58" t="inlineStr">
        <is>
          <t>All rents are NNN asking rents from LoopNet listings and broker flyers (Sept 2026). Subject rent is set on the Assumptions tab (C23).</t>
        </is>
      </c>
    </row>
  </sheetData>
  <pageMargins left="0.7" right="0.7" top="0.75" bottom="0.75" header="0.511811023622047" footer="0.511811023622047"/>
  <pageSetup orientation="landscape" paperSize="9" fitToHeight="0" fitToWidth="1" horizontalDpi="300" verticalDpi="300"/>
</worksheet>
</file>

<file path=xl/worksheets/sheet4.xml><?xml version="1.0" encoding="utf-8"?>
<worksheet xmlns="http://schemas.openxmlformats.org/spreadsheetml/2006/main">
  <sheetPr>
    <tabColor rgb="001F3A32"/>
    <outlinePr summaryBelow="1" summaryRight="1"/>
    <pageSetUpPr fitToPage="1"/>
  </sheetPr>
  <dimension ref="A1:E19"/>
  <sheetViews>
    <sheetView showGridLines="0" tabSelected="0" zoomScale="100" zoomScaleNormal="100" workbookViewId="0">
      <selection activeCell="G21" sqref="G21"/>
    </sheetView>
  </sheetViews>
  <sheetFormatPr baseColWidth="10" defaultColWidth="10.5" defaultRowHeight="16"/>
  <cols>
    <col width="2" customWidth="1" min="1" max="1"/>
    <col width="34" customWidth="1" min="2" max="2"/>
    <col width="16" customWidth="1" style="24" min="3" max="3"/>
    <col width="16" customWidth="1" style="25" min="4" max="4"/>
    <col width="16" customWidth="1" style="24" min="5" max="5"/>
  </cols>
  <sheetData>
    <row r="1" ht="28" customHeight="1">
      <c r="B1" s="56" t="inlineStr">
        <is>
          <t>Sources and Uses</t>
        </is>
      </c>
      <c r="C1" s="57" t="n"/>
      <c r="D1" s="57" t="n"/>
      <c r="E1" s="57" t="n"/>
    </row>
    <row r="2">
      <c r="B2" s="77" t="inlineStr"/>
      <c r="C2" s="115" t="inlineStr">
        <is>
          <t>AMOUNT</t>
        </is>
      </c>
      <c r="D2" s="116" t="inlineStr">
        <is>
          <t>% OF TOTAL</t>
        </is>
      </c>
      <c r="E2" s="115" t="inlineStr">
        <is>
          <t>PER SF</t>
        </is>
      </c>
    </row>
    <row r="3">
      <c r="B3" s="59" t="inlineStr">
        <is>
          <t>USES</t>
        </is>
      </c>
      <c r="C3" s="59" t="n"/>
      <c r="D3" s="59" t="n"/>
      <c r="E3" s="59" t="n"/>
    </row>
    <row r="4">
      <c r="B4" s="60" t="inlineStr">
        <is>
          <t>PURCHASE PRICE</t>
        </is>
      </c>
      <c r="C4" s="88">
        <f>Assumptions!C8</f>
        <v/>
      </c>
      <c r="D4" s="68">
        <f>C4/$C$12</f>
        <v/>
      </c>
      <c r="E4" s="62">
        <f>C4/Assumptions!$C$5</f>
        <v/>
      </c>
    </row>
    <row r="5">
      <c r="B5" s="60" t="inlineStr">
        <is>
          <t>CLOSING COSTS</t>
        </is>
      </c>
      <c r="C5" s="88">
        <f>Assumptions!C11</f>
        <v/>
      </c>
      <c r="D5" s="68">
        <f>C5/$C$12</f>
        <v/>
      </c>
      <c r="E5" s="62">
        <f>C5/Assumptions!$C$5</f>
        <v/>
      </c>
    </row>
    <row r="6">
      <c r="B6" s="60" t="inlineStr">
        <is>
          <t xml:space="preserve">RENOVATION </t>
        </is>
      </c>
      <c r="C6" s="88">
        <f>Assumptions!C19</f>
        <v/>
      </c>
      <c r="D6" s="68">
        <f>C6/$C$12</f>
        <v/>
      </c>
      <c r="E6" s="62">
        <f>C6/Assumptions!$C$5</f>
        <v/>
      </c>
    </row>
    <row r="7">
      <c r="B7" s="60" t="inlineStr">
        <is>
          <t>TENANT IMPROV.</t>
        </is>
      </c>
      <c r="C7" s="88">
        <f>Assumptions!C28*Assumptions!C5</f>
        <v/>
      </c>
      <c r="D7" s="68">
        <f>C7/$C$12</f>
        <v/>
      </c>
      <c r="E7" s="62">
        <f>C7/Assumptions!$C$5</f>
        <v/>
      </c>
    </row>
    <row r="8">
      <c r="B8" s="60" t="inlineStr">
        <is>
          <t>LEASING COMMISSION</t>
        </is>
      </c>
      <c r="C8" s="88">
        <f>Assumptions!C29*Assumptions!C23*Assumptions!C5*Assumptions!C25</f>
        <v/>
      </c>
      <c r="D8" s="68">
        <f>C8/$C$12</f>
        <v/>
      </c>
      <c r="E8" s="62">
        <f>C8/Assumptions!$C$5</f>
        <v/>
      </c>
    </row>
    <row r="9">
      <c r="B9" s="60" t="inlineStr">
        <is>
          <t>CARRY COST WHILE VACANT</t>
        </is>
      </c>
      <c r="C9" s="88">
        <f>Assumptions!C38*Assumptions!C5*(Assumptions!C30-1)</f>
        <v/>
      </c>
      <c r="D9" s="68">
        <f>C9/$C$12</f>
        <v/>
      </c>
      <c r="E9" s="62">
        <f>C9/Assumptions!$C$5</f>
        <v/>
      </c>
    </row>
    <row r="10">
      <c r="B10" s="117" t="inlineStr">
        <is>
          <t>TOTAL BEFORE FINANCING</t>
        </is>
      </c>
      <c r="C10" s="118">
        <f>SUM(C4:C9)</f>
        <v/>
      </c>
      <c r="D10" s="119">
        <f>C10/$C$12</f>
        <v/>
      </c>
      <c r="E10" s="120">
        <f>C10/Assumptions!$C$5</f>
        <v/>
      </c>
    </row>
    <row r="11">
      <c r="B11" s="60" t="inlineStr">
        <is>
          <t>LOAN FEE</t>
        </is>
      </c>
      <c r="C11" s="88">
        <f>C15*Assumptions!C47</f>
        <v/>
      </c>
      <c r="D11" s="68">
        <f>C11/$C$12</f>
        <v/>
      </c>
      <c r="E11" s="62">
        <f>C11/Assumptions!$C$5</f>
        <v/>
      </c>
    </row>
    <row r="12">
      <c r="B12" s="121" t="inlineStr">
        <is>
          <t>TOTAL USES</t>
        </is>
      </c>
      <c r="C12" s="122">
        <f>C10+C11</f>
        <v/>
      </c>
      <c r="D12" s="123">
        <f>C12/$C$12</f>
        <v/>
      </c>
      <c r="E12" s="124">
        <f>C12/Assumptions!$C$5</f>
        <v/>
      </c>
    </row>
    <row r="13"/>
    <row r="14">
      <c r="B14" s="59" t="inlineStr">
        <is>
          <t>SOURCES</t>
        </is>
      </c>
      <c r="C14" s="59" t="n"/>
      <c r="D14" s="59" t="n"/>
      <c r="E14" s="59" t="n"/>
    </row>
    <row r="15">
      <c r="B15" s="60" t="inlineStr">
        <is>
          <t>LOAN AMOUNT</t>
        </is>
      </c>
      <c r="C15" s="88">
        <f>C10*Assumptions!C44</f>
        <v/>
      </c>
      <c r="D15" s="68">
        <f>C15/$C$12</f>
        <v/>
      </c>
      <c r="E15" s="62">
        <f>C15/Assumptions!$C$5</f>
        <v/>
      </c>
    </row>
    <row r="16">
      <c r="B16" s="60" t="inlineStr">
        <is>
          <t>EQUITY</t>
        </is>
      </c>
      <c r="C16" s="88">
        <f>C12-C15</f>
        <v/>
      </c>
      <c r="D16" s="68">
        <f>C16/$C$12</f>
        <v/>
      </c>
      <c r="E16" s="62">
        <f>C16/Assumptions!$C$5</f>
        <v/>
      </c>
    </row>
    <row r="17">
      <c r="B17" s="121" t="inlineStr">
        <is>
          <t>TOTAL SOURCES</t>
        </is>
      </c>
      <c r="C17" s="122">
        <f>C15+C16</f>
        <v/>
      </c>
      <c r="D17" s="123">
        <f>C17/$C$12</f>
        <v/>
      </c>
      <c r="E17" s="124">
        <f>C17/Assumptions!$C$5</f>
        <v/>
      </c>
    </row>
    <row r="18"/>
    <row r="19">
      <c r="B19" s="58" t="inlineStr">
        <is>
          <t>Check (sources − uses)</t>
        </is>
      </c>
      <c r="C19" s="125">
        <f>C17-C12</f>
        <v/>
      </c>
    </row>
  </sheetData>
  <pageMargins left="0.7" right="0.7" top="0.75" bottom="0.75" header="0.511811023622047" footer="0.511811023622047"/>
  <pageSetup orientation="landscape" paperSize="9" fitToHeight="0" fitToWidth="1" horizontalDpi="300" verticalDpi="300"/>
</worksheet>
</file>

<file path=xl/worksheets/sheet5.xml><?xml version="1.0" encoding="utf-8"?>
<worksheet xmlns="http://schemas.openxmlformats.org/spreadsheetml/2006/main">
  <sheetPr>
    <tabColor rgb="001F3A32"/>
    <outlinePr summaryBelow="1" summaryRight="1"/>
    <pageSetUpPr fitToPage="1"/>
  </sheetPr>
  <dimension ref="A1:BL41"/>
  <sheetViews>
    <sheetView showGridLines="0" tabSelected="0" zoomScale="90" zoomScaleNormal="100" workbookViewId="0">
      <pane xSplit="2" ySplit="4" topLeftCell="C5" activePane="bottomRight" state="frozen"/>
      <selection pane="topRight"/>
      <selection pane="bottomLeft"/>
      <selection pane="bottomRight" activeCell="C1" sqref="C1"/>
      <selection pane="bottomLeft" activeCell="A5" sqref="A5"/>
      <selection pane="bottomRight" activeCell="A1" sqref="A1"/>
    </sheetView>
  </sheetViews>
  <sheetFormatPr baseColWidth="10" defaultColWidth="8.5" defaultRowHeight="16"/>
  <cols>
    <col width="2" customWidth="1" min="1" max="1"/>
    <col width="44" customWidth="1" min="2" max="2"/>
    <col width="13" customWidth="1" min="3" max="64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</cols>
  <sheetData>
    <row r="1" ht="28" customHeight="1">
      <c r="B1" s="56" t="inlineStr">
        <is>
          <t>Monthly Cash Flow</t>
        </is>
      </c>
      <c r="C1" s="126" t="n"/>
      <c r="D1" s="57" t="n"/>
      <c r="E1" s="57" t="n"/>
      <c r="F1" s="57" t="n"/>
      <c r="G1" s="57" t="n"/>
      <c r="H1" s="57" t="n"/>
      <c r="I1" s="57" t="n"/>
      <c r="J1" s="57" t="n"/>
      <c r="K1" s="57" t="n"/>
      <c r="L1" s="57" t="n"/>
      <c r="M1" s="57" t="n"/>
      <c r="N1" s="57" t="n"/>
      <c r="O1" s="57" t="n"/>
      <c r="P1" s="57" t="n"/>
      <c r="Q1" s="57" t="n"/>
      <c r="R1" s="57" t="n"/>
      <c r="S1" s="57" t="n"/>
      <c r="T1" s="57" t="n"/>
      <c r="U1" s="57" t="n"/>
      <c r="V1" s="57" t="n"/>
      <c r="W1" s="57" t="n"/>
      <c r="X1" s="57" t="n"/>
      <c r="Y1" s="57" t="n"/>
      <c r="Z1" s="57" t="n"/>
      <c r="AA1" s="57" t="n"/>
      <c r="AB1" s="57" t="n"/>
      <c r="AC1" s="57" t="n"/>
      <c r="AD1" s="57" t="n"/>
      <c r="AE1" s="57" t="n"/>
      <c r="AF1" s="57" t="n"/>
      <c r="AG1" s="57" t="n"/>
      <c r="AH1" s="57" t="n"/>
      <c r="AI1" s="57" t="n"/>
      <c r="AJ1" s="57" t="n"/>
      <c r="AK1" s="57" t="n"/>
      <c r="AL1" s="57" t="n"/>
      <c r="AM1" s="57" t="n"/>
      <c r="AN1" s="57" t="n"/>
      <c r="AO1" s="57" t="n"/>
      <c r="AP1" s="57" t="n"/>
      <c r="AQ1" s="57" t="n"/>
      <c r="AR1" s="57" t="n"/>
      <c r="AS1" s="57" t="n"/>
      <c r="AT1" s="57" t="n"/>
      <c r="AU1" s="57" t="n"/>
      <c r="AV1" s="57" t="n"/>
      <c r="AW1" s="57" t="n"/>
      <c r="AX1" s="57" t="n"/>
      <c r="AY1" s="57" t="n"/>
      <c r="AZ1" s="57" t="n"/>
      <c r="BA1" s="57" t="n"/>
      <c r="BB1" s="57" t="n"/>
      <c r="BC1" s="57" t="n"/>
      <c r="BD1" s="57" t="n"/>
      <c r="BE1" s="57" t="n"/>
      <c r="BF1" s="57" t="n"/>
      <c r="BG1" s="57" t="n"/>
      <c r="BH1" s="57" t="n"/>
      <c r="BI1" s="57" t="n"/>
      <c r="BJ1" s="57" t="n"/>
      <c r="BK1" s="57" t="n"/>
      <c r="BL1" s="126" t="n"/>
    </row>
    <row r="2">
      <c r="B2" s="77" t="inlineStr">
        <is>
          <t>MONTH</t>
        </is>
      </c>
      <c r="C2" s="127" t="n">
        <v>0</v>
      </c>
      <c r="D2" s="127">
        <f>C2+1</f>
        <v/>
      </c>
      <c r="E2" s="127">
        <f>D2+1</f>
        <v/>
      </c>
      <c r="F2" s="127">
        <f>E2+1</f>
        <v/>
      </c>
      <c r="G2" s="127">
        <f>F2+1</f>
        <v/>
      </c>
      <c r="H2" s="127">
        <f>G2+1</f>
        <v/>
      </c>
      <c r="I2" s="127">
        <f>H2+1</f>
        <v/>
      </c>
      <c r="J2" s="127">
        <f>I2+1</f>
        <v/>
      </c>
      <c r="K2" s="127">
        <f>J2+1</f>
        <v/>
      </c>
      <c r="L2" s="127">
        <f>K2+1</f>
        <v/>
      </c>
      <c r="M2" s="127">
        <f>L2+1</f>
        <v/>
      </c>
      <c r="N2" s="127">
        <f>M2+1</f>
        <v/>
      </c>
      <c r="O2" s="127">
        <f>N2+1</f>
        <v/>
      </c>
      <c r="P2" s="127">
        <f>O2+1</f>
        <v/>
      </c>
      <c r="Q2" s="127">
        <f>P2+1</f>
        <v/>
      </c>
      <c r="R2" s="127">
        <f>Q2+1</f>
        <v/>
      </c>
      <c r="S2" s="127">
        <f>R2+1</f>
        <v/>
      </c>
      <c r="T2" s="127">
        <f>S2+1</f>
        <v/>
      </c>
      <c r="U2" s="127">
        <f>T2+1</f>
        <v/>
      </c>
      <c r="V2" s="127">
        <f>U2+1</f>
        <v/>
      </c>
      <c r="W2" s="127">
        <f>V2+1</f>
        <v/>
      </c>
      <c r="X2" s="127">
        <f>W2+1</f>
        <v/>
      </c>
      <c r="Y2" s="127">
        <f>X2+1</f>
        <v/>
      </c>
      <c r="Z2" s="127">
        <f>Y2+1</f>
        <v/>
      </c>
      <c r="AA2" s="127">
        <f>Z2+1</f>
        <v/>
      </c>
      <c r="AB2" s="127">
        <f>AA2+1</f>
        <v/>
      </c>
      <c r="AC2" s="127">
        <f>AB2+1</f>
        <v/>
      </c>
      <c r="AD2" s="127">
        <f>AC2+1</f>
        <v/>
      </c>
      <c r="AE2" s="127">
        <f>AD2+1</f>
        <v/>
      </c>
      <c r="AF2" s="127">
        <f>AE2+1</f>
        <v/>
      </c>
      <c r="AG2" s="127">
        <f>AF2+1</f>
        <v/>
      </c>
      <c r="AH2" s="127">
        <f>AG2+1</f>
        <v/>
      </c>
      <c r="AI2" s="127">
        <f>AH2+1</f>
        <v/>
      </c>
      <c r="AJ2" s="127">
        <f>AI2+1</f>
        <v/>
      </c>
      <c r="AK2" s="127">
        <f>AJ2+1</f>
        <v/>
      </c>
      <c r="AL2" s="127">
        <f>AK2+1</f>
        <v/>
      </c>
      <c r="AM2" s="127">
        <f>AL2+1</f>
        <v/>
      </c>
      <c r="AN2" s="127">
        <f>AM2+1</f>
        <v/>
      </c>
      <c r="AO2" s="127">
        <f>AN2+1</f>
        <v/>
      </c>
      <c r="AP2" s="127">
        <f>AO2+1</f>
        <v/>
      </c>
      <c r="AQ2" s="127">
        <f>AP2+1</f>
        <v/>
      </c>
      <c r="AR2" s="127">
        <f>AQ2+1</f>
        <v/>
      </c>
      <c r="AS2" s="127">
        <f>AR2+1</f>
        <v/>
      </c>
      <c r="AT2" s="127">
        <f>AS2+1</f>
        <v/>
      </c>
      <c r="AU2" s="127">
        <f>AT2+1</f>
        <v/>
      </c>
      <c r="AV2" s="127">
        <f>AU2+1</f>
        <v/>
      </c>
      <c r="AW2" s="127">
        <f>AV2+1</f>
        <v/>
      </c>
      <c r="AX2" s="127">
        <f>AW2+1</f>
        <v/>
      </c>
      <c r="AY2" s="127">
        <f>AX2+1</f>
        <v/>
      </c>
      <c r="AZ2" s="127">
        <f>AY2+1</f>
        <v/>
      </c>
      <c r="BA2" s="127">
        <f>AZ2+1</f>
        <v/>
      </c>
      <c r="BB2" s="127">
        <f>BA2+1</f>
        <v/>
      </c>
      <c r="BC2" s="127">
        <f>BB2+1</f>
        <v/>
      </c>
      <c r="BD2" s="127">
        <f>BC2+1</f>
        <v/>
      </c>
      <c r="BE2" s="127">
        <f>BD2+1</f>
        <v/>
      </c>
      <c r="BF2" s="127">
        <f>BE2+1</f>
        <v/>
      </c>
      <c r="BG2" s="127">
        <f>BF2+1</f>
        <v/>
      </c>
      <c r="BH2" s="127">
        <f>BG2+1</f>
        <v/>
      </c>
      <c r="BI2" s="127">
        <f>BH2+1</f>
        <v/>
      </c>
      <c r="BJ2" s="127">
        <f>BI2+1</f>
        <v/>
      </c>
      <c r="BK2" s="127">
        <f>BJ2+1</f>
        <v/>
      </c>
      <c r="BL2" s="127">
        <f>BK2+1</f>
        <v/>
      </c>
    </row>
    <row r="3">
      <c r="B3" s="128" t="inlineStr">
        <is>
          <t>DATE</t>
        </is>
      </c>
      <c r="C3" s="129">
        <f>Assumptions!C12</f>
        <v/>
      </c>
      <c r="D3" s="129">
        <f>EDATE(C3,1)</f>
        <v/>
      </c>
      <c r="E3" s="129">
        <f>EDATE(D3,1)</f>
        <v/>
      </c>
      <c r="F3" s="129">
        <f>EDATE(E3,1)</f>
        <v/>
      </c>
      <c r="G3" s="129">
        <f>EDATE(F3,1)</f>
        <v/>
      </c>
      <c r="H3" s="129">
        <f>EDATE(G3,1)</f>
        <v/>
      </c>
      <c r="I3" s="129">
        <f>EDATE(H3,1)</f>
        <v/>
      </c>
      <c r="J3" s="129">
        <f>EDATE(I3,1)</f>
        <v/>
      </c>
      <c r="K3" s="129">
        <f>EDATE(J3,1)</f>
        <v/>
      </c>
      <c r="L3" s="129">
        <f>EDATE(K3,1)</f>
        <v/>
      </c>
      <c r="M3" s="129">
        <f>EDATE(L3,1)</f>
        <v/>
      </c>
      <c r="N3" s="129">
        <f>EDATE(M3,1)</f>
        <v/>
      </c>
      <c r="O3" s="129">
        <f>EDATE(N3,1)</f>
        <v/>
      </c>
      <c r="P3" s="129">
        <f>EDATE(O3,1)</f>
        <v/>
      </c>
      <c r="Q3" s="129">
        <f>EDATE(P3,1)</f>
        <v/>
      </c>
      <c r="R3" s="129">
        <f>EDATE(Q3,1)</f>
        <v/>
      </c>
      <c r="S3" s="129">
        <f>EDATE(R3,1)</f>
        <v/>
      </c>
      <c r="T3" s="129">
        <f>EDATE(S3,1)</f>
        <v/>
      </c>
      <c r="U3" s="129">
        <f>EDATE(T3,1)</f>
        <v/>
      </c>
      <c r="V3" s="129">
        <f>EDATE(U3,1)</f>
        <v/>
      </c>
      <c r="W3" s="129">
        <f>EDATE(V3,1)</f>
        <v/>
      </c>
      <c r="X3" s="129">
        <f>EDATE(W3,1)</f>
        <v/>
      </c>
      <c r="Y3" s="129">
        <f>EDATE(X3,1)</f>
        <v/>
      </c>
      <c r="Z3" s="129">
        <f>EDATE(Y3,1)</f>
        <v/>
      </c>
      <c r="AA3" s="129">
        <f>EDATE(Z3,1)</f>
        <v/>
      </c>
      <c r="AB3" s="129">
        <f>EDATE(AA3,1)</f>
        <v/>
      </c>
      <c r="AC3" s="129">
        <f>EDATE(AB3,1)</f>
        <v/>
      </c>
      <c r="AD3" s="129">
        <f>EDATE(AC3,1)</f>
        <v/>
      </c>
      <c r="AE3" s="129">
        <f>EDATE(AD3,1)</f>
        <v/>
      </c>
      <c r="AF3" s="129">
        <f>EDATE(AE3,1)</f>
        <v/>
      </c>
      <c r="AG3" s="129">
        <f>EDATE(AF3,1)</f>
        <v/>
      </c>
      <c r="AH3" s="129">
        <f>EDATE(AG3,1)</f>
        <v/>
      </c>
      <c r="AI3" s="129">
        <f>EDATE(AH3,1)</f>
        <v/>
      </c>
      <c r="AJ3" s="129">
        <f>EDATE(AI3,1)</f>
        <v/>
      </c>
      <c r="AK3" s="129">
        <f>EDATE(AJ3,1)</f>
        <v/>
      </c>
      <c r="AL3" s="129">
        <f>EDATE(AK3,1)</f>
        <v/>
      </c>
      <c r="AM3" s="129">
        <f>EDATE(AL3,1)</f>
        <v/>
      </c>
      <c r="AN3" s="129">
        <f>EDATE(AM3,1)</f>
        <v/>
      </c>
      <c r="AO3" s="129">
        <f>EDATE(AN3,1)</f>
        <v/>
      </c>
      <c r="AP3" s="129">
        <f>EDATE(AO3,1)</f>
        <v/>
      </c>
      <c r="AQ3" s="129">
        <f>EDATE(AP3,1)</f>
        <v/>
      </c>
      <c r="AR3" s="129">
        <f>EDATE(AQ3,1)</f>
        <v/>
      </c>
      <c r="AS3" s="129">
        <f>EDATE(AR3,1)</f>
        <v/>
      </c>
      <c r="AT3" s="129">
        <f>EDATE(AS3,1)</f>
        <v/>
      </c>
      <c r="AU3" s="129">
        <f>EDATE(AT3,1)</f>
        <v/>
      </c>
      <c r="AV3" s="129">
        <f>EDATE(AU3,1)</f>
        <v/>
      </c>
      <c r="AW3" s="129">
        <f>EDATE(AV3,1)</f>
        <v/>
      </c>
      <c r="AX3" s="129">
        <f>EDATE(AW3,1)</f>
        <v/>
      </c>
      <c r="AY3" s="129">
        <f>EDATE(AX3,1)</f>
        <v/>
      </c>
      <c r="AZ3" s="129">
        <f>EDATE(AY3,1)</f>
        <v/>
      </c>
      <c r="BA3" s="129">
        <f>EDATE(AZ3,1)</f>
        <v/>
      </c>
      <c r="BB3" s="129">
        <f>EDATE(BA3,1)</f>
        <v/>
      </c>
      <c r="BC3" s="129">
        <f>EDATE(BB3,1)</f>
        <v/>
      </c>
      <c r="BD3" s="129">
        <f>EDATE(BC3,1)</f>
        <v/>
      </c>
      <c r="BE3" s="129">
        <f>EDATE(BD3,1)</f>
        <v/>
      </c>
      <c r="BF3" s="129">
        <f>EDATE(BE3,1)</f>
        <v/>
      </c>
      <c r="BG3" s="129">
        <f>EDATE(BF3,1)</f>
        <v/>
      </c>
      <c r="BH3" s="129">
        <f>EDATE(BG3,1)</f>
        <v/>
      </c>
      <c r="BI3" s="129">
        <f>EDATE(BH3,1)</f>
        <v/>
      </c>
      <c r="BJ3" s="129">
        <f>EDATE(BI3,1)</f>
        <v/>
      </c>
      <c r="BK3" s="129">
        <f>EDATE(BJ3,1)</f>
        <v/>
      </c>
      <c r="BL3" s="130">
        <f>EDATE(BK3,1)</f>
        <v/>
      </c>
    </row>
    <row r="4">
      <c r="B4" s="128" t="inlineStr">
        <is>
          <t>LEASE YEAR</t>
        </is>
      </c>
      <c r="C4" s="131" t="n"/>
      <c r="D4" s="132">
        <f>IF(D$2&lt;Assumptions!$C$30,0,INT((D$2-Assumptions!$C$30)/12)+1)</f>
        <v/>
      </c>
      <c r="E4" s="132">
        <f>IF(E$2&lt;Assumptions!$C$30,0,INT((E$2-Assumptions!$C$30)/12)+1)</f>
        <v/>
      </c>
      <c r="F4" s="132">
        <f>IF(F$2&lt;Assumptions!$C$30,0,INT((F$2-Assumptions!$C$30)/12)+1)</f>
        <v/>
      </c>
      <c r="G4" s="132">
        <f>IF(G$2&lt;Assumptions!$C$30,0,INT((G$2-Assumptions!$C$30)/12)+1)</f>
        <v/>
      </c>
      <c r="H4" s="132">
        <f>IF(H$2&lt;Assumptions!$C$30,0,INT((H$2-Assumptions!$C$30)/12)+1)</f>
        <v/>
      </c>
      <c r="I4" s="132">
        <f>IF(I$2&lt;Assumptions!$C$30,0,INT((I$2-Assumptions!$C$30)/12)+1)</f>
        <v/>
      </c>
      <c r="J4" s="132">
        <f>IF(J$2&lt;Assumptions!$C$30,0,INT((J$2-Assumptions!$C$30)/12)+1)</f>
        <v/>
      </c>
      <c r="K4" s="132">
        <f>IF(K$2&lt;Assumptions!$C$30,0,INT((K$2-Assumptions!$C$30)/12)+1)</f>
        <v/>
      </c>
      <c r="L4" s="132">
        <f>IF(L$2&lt;Assumptions!$C$30,0,INT((L$2-Assumptions!$C$30)/12)+1)</f>
        <v/>
      </c>
      <c r="M4" s="132">
        <f>IF(M$2&lt;Assumptions!$C$30,0,INT((M$2-Assumptions!$C$30)/12)+1)</f>
        <v/>
      </c>
      <c r="N4" s="132">
        <f>IF(N$2&lt;Assumptions!$C$30,0,INT((N$2-Assumptions!$C$30)/12)+1)</f>
        <v/>
      </c>
      <c r="O4" s="132">
        <f>IF(O$2&lt;Assumptions!$C$30,0,INT((O$2-Assumptions!$C$30)/12)+1)</f>
        <v/>
      </c>
      <c r="P4" s="132">
        <f>IF(P$2&lt;Assumptions!$C$30,0,INT((P$2-Assumptions!$C$30)/12)+1)</f>
        <v/>
      </c>
      <c r="Q4" s="132">
        <f>IF(Q$2&lt;Assumptions!$C$30,0,INT((Q$2-Assumptions!$C$30)/12)+1)</f>
        <v/>
      </c>
      <c r="R4" s="132">
        <f>IF(R$2&lt;Assumptions!$C$30,0,INT((R$2-Assumptions!$C$30)/12)+1)</f>
        <v/>
      </c>
      <c r="S4" s="132">
        <f>IF(S$2&lt;Assumptions!$C$30,0,INT((S$2-Assumptions!$C$30)/12)+1)</f>
        <v/>
      </c>
      <c r="T4" s="132">
        <f>IF(T$2&lt;Assumptions!$C$30,0,INT((T$2-Assumptions!$C$30)/12)+1)</f>
        <v/>
      </c>
      <c r="U4" s="132">
        <f>IF(U$2&lt;Assumptions!$C$30,0,INT((U$2-Assumptions!$C$30)/12)+1)</f>
        <v/>
      </c>
      <c r="V4" s="132">
        <f>IF(V$2&lt;Assumptions!$C$30,0,INT((V$2-Assumptions!$C$30)/12)+1)</f>
        <v/>
      </c>
      <c r="W4" s="132">
        <f>IF(W$2&lt;Assumptions!$C$30,0,INT((W$2-Assumptions!$C$30)/12)+1)</f>
        <v/>
      </c>
      <c r="X4" s="132">
        <f>IF(X$2&lt;Assumptions!$C$30,0,INT((X$2-Assumptions!$C$30)/12)+1)</f>
        <v/>
      </c>
      <c r="Y4" s="132">
        <f>IF(Y$2&lt;Assumptions!$C$30,0,INT((Y$2-Assumptions!$C$30)/12)+1)</f>
        <v/>
      </c>
      <c r="Z4" s="132">
        <f>IF(Z$2&lt;Assumptions!$C$30,0,INT((Z$2-Assumptions!$C$30)/12)+1)</f>
        <v/>
      </c>
      <c r="AA4" s="132">
        <f>IF(AA$2&lt;Assumptions!$C$30,0,INT((AA$2-Assumptions!$C$30)/12)+1)</f>
        <v/>
      </c>
      <c r="AB4" s="132">
        <f>IF(AB$2&lt;Assumptions!$C$30,0,INT((AB$2-Assumptions!$C$30)/12)+1)</f>
        <v/>
      </c>
      <c r="AC4" s="132">
        <f>IF(AC$2&lt;Assumptions!$C$30,0,INT((AC$2-Assumptions!$C$30)/12)+1)</f>
        <v/>
      </c>
      <c r="AD4" s="132">
        <f>IF(AD$2&lt;Assumptions!$C$30,0,INT((AD$2-Assumptions!$C$30)/12)+1)</f>
        <v/>
      </c>
      <c r="AE4" s="132">
        <f>IF(AE$2&lt;Assumptions!$C$30,0,INT((AE$2-Assumptions!$C$30)/12)+1)</f>
        <v/>
      </c>
      <c r="AF4" s="132">
        <f>IF(AF$2&lt;Assumptions!$C$30,0,INT((AF$2-Assumptions!$C$30)/12)+1)</f>
        <v/>
      </c>
      <c r="AG4" s="132">
        <f>IF(AG$2&lt;Assumptions!$C$30,0,INT((AG$2-Assumptions!$C$30)/12)+1)</f>
        <v/>
      </c>
      <c r="AH4" s="132">
        <f>IF(AH$2&lt;Assumptions!$C$30,0,INT((AH$2-Assumptions!$C$30)/12)+1)</f>
        <v/>
      </c>
      <c r="AI4" s="132">
        <f>IF(AI$2&lt;Assumptions!$C$30,0,INT((AI$2-Assumptions!$C$30)/12)+1)</f>
        <v/>
      </c>
      <c r="AJ4" s="132">
        <f>IF(AJ$2&lt;Assumptions!$C$30,0,INT((AJ$2-Assumptions!$C$30)/12)+1)</f>
        <v/>
      </c>
      <c r="AK4" s="132">
        <f>IF(AK$2&lt;Assumptions!$C$30,0,INT((AK$2-Assumptions!$C$30)/12)+1)</f>
        <v/>
      </c>
      <c r="AL4" s="132">
        <f>IF(AL$2&lt;Assumptions!$C$30,0,INT((AL$2-Assumptions!$C$30)/12)+1)</f>
        <v/>
      </c>
      <c r="AM4" s="132">
        <f>IF(AM$2&lt;Assumptions!$C$30,0,INT((AM$2-Assumptions!$C$30)/12)+1)</f>
        <v/>
      </c>
      <c r="AN4" s="132">
        <f>IF(AN$2&lt;Assumptions!$C$30,0,INT((AN$2-Assumptions!$C$30)/12)+1)</f>
        <v/>
      </c>
      <c r="AO4" s="132">
        <f>IF(AO$2&lt;Assumptions!$C$30,0,INT((AO$2-Assumptions!$C$30)/12)+1)</f>
        <v/>
      </c>
      <c r="AP4" s="132">
        <f>IF(AP$2&lt;Assumptions!$C$30,0,INT((AP$2-Assumptions!$C$30)/12)+1)</f>
        <v/>
      </c>
      <c r="AQ4" s="132">
        <f>IF(AQ$2&lt;Assumptions!$C$30,0,INT((AQ$2-Assumptions!$C$30)/12)+1)</f>
        <v/>
      </c>
      <c r="AR4" s="132">
        <f>IF(AR$2&lt;Assumptions!$C$30,0,INT((AR$2-Assumptions!$C$30)/12)+1)</f>
        <v/>
      </c>
      <c r="AS4" s="132">
        <f>IF(AS$2&lt;Assumptions!$C$30,0,INT((AS$2-Assumptions!$C$30)/12)+1)</f>
        <v/>
      </c>
      <c r="AT4" s="132">
        <f>IF(AT$2&lt;Assumptions!$C$30,0,INT((AT$2-Assumptions!$C$30)/12)+1)</f>
        <v/>
      </c>
      <c r="AU4" s="132">
        <f>IF(AU$2&lt;Assumptions!$C$30,0,INT((AU$2-Assumptions!$C$30)/12)+1)</f>
        <v/>
      </c>
      <c r="AV4" s="132">
        <f>IF(AV$2&lt;Assumptions!$C$30,0,INT((AV$2-Assumptions!$C$30)/12)+1)</f>
        <v/>
      </c>
      <c r="AW4" s="132">
        <f>IF(AW$2&lt;Assumptions!$C$30,0,INT((AW$2-Assumptions!$C$30)/12)+1)</f>
        <v/>
      </c>
      <c r="AX4" s="132">
        <f>IF(AX$2&lt;Assumptions!$C$30,0,INT((AX$2-Assumptions!$C$30)/12)+1)</f>
        <v/>
      </c>
      <c r="AY4" s="132">
        <f>IF(AY$2&lt;Assumptions!$C$30,0,INT((AY$2-Assumptions!$C$30)/12)+1)</f>
        <v/>
      </c>
      <c r="AZ4" s="132">
        <f>IF(AZ$2&lt;Assumptions!$C$30,0,INT((AZ$2-Assumptions!$C$30)/12)+1)</f>
        <v/>
      </c>
      <c r="BA4" s="132">
        <f>IF(BA$2&lt;Assumptions!$C$30,0,INT((BA$2-Assumptions!$C$30)/12)+1)</f>
        <v/>
      </c>
      <c r="BB4" s="132">
        <f>IF(BB$2&lt;Assumptions!$C$30,0,INT((BB$2-Assumptions!$C$30)/12)+1)</f>
        <v/>
      </c>
      <c r="BC4" s="132">
        <f>IF(BC$2&lt;Assumptions!$C$30,0,INT((BC$2-Assumptions!$C$30)/12)+1)</f>
        <v/>
      </c>
      <c r="BD4" s="132">
        <f>IF(BD$2&lt;Assumptions!$C$30,0,INT((BD$2-Assumptions!$C$30)/12)+1)</f>
        <v/>
      </c>
      <c r="BE4" s="132">
        <f>IF(BE$2&lt;Assumptions!$C$30,0,INT((BE$2-Assumptions!$C$30)/12)+1)</f>
        <v/>
      </c>
      <c r="BF4" s="132">
        <f>IF(BF$2&lt;Assumptions!$C$30,0,INT((BF$2-Assumptions!$C$30)/12)+1)</f>
        <v/>
      </c>
      <c r="BG4" s="132">
        <f>IF(BG$2&lt;Assumptions!$C$30,0,INT((BG$2-Assumptions!$C$30)/12)+1)</f>
        <v/>
      </c>
      <c r="BH4" s="132">
        <f>IF(BH$2&lt;Assumptions!$C$30,0,INT((BH$2-Assumptions!$C$30)/12)+1)</f>
        <v/>
      </c>
      <c r="BI4" s="132">
        <f>IF(BI$2&lt;Assumptions!$C$30,0,INT((BI$2-Assumptions!$C$30)/12)+1)</f>
        <v/>
      </c>
      <c r="BJ4" s="132">
        <f>IF(BJ$2&lt;Assumptions!$C$30,0,INT((BJ$2-Assumptions!$C$30)/12)+1)</f>
        <v/>
      </c>
      <c r="BK4" s="132">
        <f>IF(BK$2&lt;Assumptions!$C$30,0,INT((BK$2-Assumptions!$C$30)/12)+1)</f>
        <v/>
      </c>
      <c r="BL4" s="133">
        <f>IF(BL$2&lt;Assumptions!$C$30,0,INT((BL$2-Assumptions!$C$30)/12)+1)</f>
        <v/>
      </c>
    </row>
    <row r="5"/>
    <row r="6">
      <c r="B6" s="59" t="inlineStr">
        <is>
          <t>REVENUE</t>
        </is>
      </c>
      <c r="C6" s="59" t="n"/>
      <c r="D6" s="59" t="n"/>
      <c r="E6" s="59" t="n"/>
      <c r="F6" s="59" t="n"/>
      <c r="G6" s="59" t="n"/>
      <c r="H6" s="59" t="n"/>
      <c r="I6" s="59" t="n"/>
      <c r="J6" s="59" t="n"/>
      <c r="K6" s="59" t="n"/>
      <c r="L6" s="59" t="n"/>
      <c r="M6" s="59" t="n"/>
      <c r="N6" s="59" t="n"/>
      <c r="O6" s="59" t="n"/>
      <c r="P6" s="59" t="n"/>
      <c r="Q6" s="59" t="n"/>
      <c r="R6" s="59" t="n"/>
      <c r="S6" s="59" t="n"/>
      <c r="T6" s="59" t="n"/>
      <c r="U6" s="59" t="n"/>
      <c r="V6" s="59" t="n"/>
      <c r="W6" s="59" t="n"/>
      <c r="X6" s="59" t="n"/>
      <c r="Y6" s="59" t="n"/>
      <c r="Z6" s="59" t="n"/>
      <c r="AA6" s="59" t="n"/>
      <c r="AB6" s="59" t="n"/>
      <c r="AC6" s="59" t="n"/>
      <c r="AD6" s="59" t="n"/>
      <c r="AE6" s="59" t="n"/>
      <c r="AF6" s="59" t="n"/>
      <c r="AG6" s="59" t="n"/>
      <c r="AH6" s="59" t="n"/>
      <c r="AI6" s="59" t="n"/>
      <c r="AJ6" s="59" t="n"/>
      <c r="AK6" s="59" t="n"/>
      <c r="AL6" s="59" t="n"/>
      <c r="AM6" s="59" t="n"/>
      <c r="AN6" s="59" t="n"/>
      <c r="AO6" s="59" t="n"/>
      <c r="AP6" s="59" t="n"/>
      <c r="AQ6" s="59" t="n"/>
      <c r="AR6" s="59" t="n"/>
      <c r="AS6" s="59" t="n"/>
      <c r="AT6" s="59" t="n"/>
      <c r="AU6" s="59" t="n"/>
      <c r="AV6" s="59" t="n"/>
      <c r="AW6" s="59" t="n"/>
      <c r="AX6" s="59" t="n"/>
      <c r="AY6" s="59" t="n"/>
      <c r="AZ6" s="59" t="n"/>
      <c r="BA6" s="59" t="n"/>
      <c r="BB6" s="59" t="n"/>
      <c r="BC6" s="59" t="n"/>
      <c r="BD6" s="59" t="n"/>
      <c r="BE6" s="59" t="n"/>
      <c r="BF6" s="59" t="n"/>
      <c r="BG6" s="59" t="n"/>
      <c r="BH6" s="59" t="n"/>
      <c r="BI6" s="59" t="n"/>
      <c r="BJ6" s="59" t="n"/>
      <c r="BK6" s="59" t="n"/>
      <c r="BL6" s="59" t="n"/>
    </row>
    <row r="7">
      <c r="B7" s="83" t="inlineStr">
        <is>
          <t>Base rent</t>
        </is>
      </c>
      <c r="D7" s="134">
        <f>IF(D$2&gt;=Assumptions!$C$31,Assumptions!$C$23*Assumptions!$C$5*(1+Assumptions!$C$24)^(D$4-1),0)</f>
        <v/>
      </c>
      <c r="E7" s="134">
        <f>IF(E$2&gt;=Assumptions!$C$31,Assumptions!$C$23*Assumptions!$C$5*(1+Assumptions!$C$24)^(E$4-1),0)</f>
        <v/>
      </c>
      <c r="F7" s="134">
        <f>IF(F$2&gt;=Assumptions!$C$31,Assumptions!$C$23*Assumptions!$C$5*(1+Assumptions!$C$24)^(F$4-1),0)</f>
        <v/>
      </c>
      <c r="G7" s="134">
        <f>IF(G$2&gt;=Assumptions!$C$31,Assumptions!$C$23*Assumptions!$C$5*(1+Assumptions!$C$24)^(G$4-1),0)</f>
        <v/>
      </c>
      <c r="H7" s="134">
        <f>IF(H$2&gt;=Assumptions!$C$31,Assumptions!$C$23*Assumptions!$C$5*(1+Assumptions!$C$24)^(H$4-1),0)</f>
        <v/>
      </c>
      <c r="I7" s="134">
        <f>IF(I$2&gt;=Assumptions!$C$31,Assumptions!$C$23*Assumptions!$C$5*(1+Assumptions!$C$24)^(I$4-1),0)</f>
        <v/>
      </c>
      <c r="J7" s="134">
        <f>IF(J$2&gt;=Assumptions!$C$31,Assumptions!$C$23*Assumptions!$C$5*(1+Assumptions!$C$24)^(J$4-1),0)</f>
        <v/>
      </c>
      <c r="K7" s="134">
        <f>IF(K$2&gt;=Assumptions!$C$31,Assumptions!$C$23*Assumptions!$C$5*(1+Assumptions!$C$24)^(K$4-1),0)</f>
        <v/>
      </c>
      <c r="L7" s="134">
        <f>IF(L$2&gt;=Assumptions!$C$31,Assumptions!$C$23*Assumptions!$C$5*(1+Assumptions!$C$24)^(L$4-1),0)</f>
        <v/>
      </c>
      <c r="M7" s="134">
        <f>IF(M$2&gt;=Assumptions!$C$31,Assumptions!$C$23*Assumptions!$C$5*(1+Assumptions!$C$24)^(M$4-1),0)</f>
        <v/>
      </c>
      <c r="N7" s="134">
        <f>IF(N$2&gt;=Assumptions!$C$31,Assumptions!$C$23*Assumptions!$C$5*(1+Assumptions!$C$24)^(N$4-1),0)</f>
        <v/>
      </c>
      <c r="O7" s="134">
        <f>IF(O$2&gt;=Assumptions!$C$31,Assumptions!$C$23*Assumptions!$C$5*(1+Assumptions!$C$24)^(O$4-1),0)</f>
        <v/>
      </c>
      <c r="P7" s="134">
        <f>IF(P$2&gt;=Assumptions!$C$31,Assumptions!$C$23*Assumptions!$C$5*(1+Assumptions!$C$24)^(P$4-1),0)</f>
        <v/>
      </c>
      <c r="Q7" s="134">
        <f>IF(Q$2&gt;=Assumptions!$C$31,Assumptions!$C$23*Assumptions!$C$5*(1+Assumptions!$C$24)^(Q$4-1),0)</f>
        <v/>
      </c>
      <c r="R7" s="134">
        <f>IF(R$2&gt;=Assumptions!$C$31,Assumptions!$C$23*Assumptions!$C$5*(1+Assumptions!$C$24)^(R$4-1),0)</f>
        <v/>
      </c>
      <c r="S7" s="134">
        <f>IF(S$2&gt;=Assumptions!$C$31,Assumptions!$C$23*Assumptions!$C$5*(1+Assumptions!$C$24)^(S$4-1),0)</f>
        <v/>
      </c>
      <c r="T7" s="134">
        <f>IF(T$2&gt;=Assumptions!$C$31,Assumptions!$C$23*Assumptions!$C$5*(1+Assumptions!$C$24)^(T$4-1),0)</f>
        <v/>
      </c>
      <c r="U7" s="134">
        <f>IF(U$2&gt;=Assumptions!$C$31,Assumptions!$C$23*Assumptions!$C$5*(1+Assumptions!$C$24)^(U$4-1),0)</f>
        <v/>
      </c>
      <c r="V7" s="134">
        <f>IF(V$2&gt;=Assumptions!$C$31,Assumptions!$C$23*Assumptions!$C$5*(1+Assumptions!$C$24)^(V$4-1),0)</f>
        <v/>
      </c>
      <c r="W7" s="134">
        <f>IF(W$2&gt;=Assumptions!$C$31,Assumptions!$C$23*Assumptions!$C$5*(1+Assumptions!$C$24)^(W$4-1),0)</f>
        <v/>
      </c>
      <c r="X7" s="134">
        <f>IF(X$2&gt;=Assumptions!$C$31,Assumptions!$C$23*Assumptions!$C$5*(1+Assumptions!$C$24)^(X$4-1),0)</f>
        <v/>
      </c>
      <c r="Y7" s="134">
        <f>IF(Y$2&gt;=Assumptions!$C$31,Assumptions!$C$23*Assumptions!$C$5*(1+Assumptions!$C$24)^(Y$4-1),0)</f>
        <v/>
      </c>
      <c r="Z7" s="134">
        <f>IF(Z$2&gt;=Assumptions!$C$31,Assumptions!$C$23*Assumptions!$C$5*(1+Assumptions!$C$24)^(Z$4-1),0)</f>
        <v/>
      </c>
      <c r="AA7" s="134">
        <f>IF(AA$2&gt;=Assumptions!$C$31,Assumptions!$C$23*Assumptions!$C$5*(1+Assumptions!$C$24)^(AA$4-1),0)</f>
        <v/>
      </c>
      <c r="AB7" s="134">
        <f>IF(AB$2&gt;=Assumptions!$C$31,Assumptions!$C$23*Assumptions!$C$5*(1+Assumptions!$C$24)^(AB$4-1),0)</f>
        <v/>
      </c>
      <c r="AC7" s="134">
        <f>IF(AC$2&gt;=Assumptions!$C$31,Assumptions!$C$23*Assumptions!$C$5*(1+Assumptions!$C$24)^(AC$4-1),0)</f>
        <v/>
      </c>
      <c r="AD7" s="134">
        <f>IF(AD$2&gt;=Assumptions!$C$31,Assumptions!$C$23*Assumptions!$C$5*(1+Assumptions!$C$24)^(AD$4-1),0)</f>
        <v/>
      </c>
      <c r="AE7" s="134">
        <f>IF(AE$2&gt;=Assumptions!$C$31,Assumptions!$C$23*Assumptions!$C$5*(1+Assumptions!$C$24)^(AE$4-1),0)</f>
        <v/>
      </c>
      <c r="AF7" s="134">
        <f>IF(AF$2&gt;=Assumptions!$C$31,Assumptions!$C$23*Assumptions!$C$5*(1+Assumptions!$C$24)^(AF$4-1),0)</f>
        <v/>
      </c>
      <c r="AG7" s="134">
        <f>IF(AG$2&gt;=Assumptions!$C$31,Assumptions!$C$23*Assumptions!$C$5*(1+Assumptions!$C$24)^(AG$4-1),0)</f>
        <v/>
      </c>
      <c r="AH7" s="134">
        <f>IF(AH$2&gt;=Assumptions!$C$31,Assumptions!$C$23*Assumptions!$C$5*(1+Assumptions!$C$24)^(AH$4-1),0)</f>
        <v/>
      </c>
      <c r="AI7" s="134">
        <f>IF(AI$2&gt;=Assumptions!$C$31,Assumptions!$C$23*Assumptions!$C$5*(1+Assumptions!$C$24)^(AI$4-1),0)</f>
        <v/>
      </c>
      <c r="AJ7" s="134">
        <f>IF(AJ$2&gt;=Assumptions!$C$31,Assumptions!$C$23*Assumptions!$C$5*(1+Assumptions!$C$24)^(AJ$4-1),0)</f>
        <v/>
      </c>
      <c r="AK7" s="134">
        <f>IF(AK$2&gt;=Assumptions!$C$31,Assumptions!$C$23*Assumptions!$C$5*(1+Assumptions!$C$24)^(AK$4-1),0)</f>
        <v/>
      </c>
      <c r="AL7" s="134">
        <f>IF(AL$2&gt;=Assumptions!$C$31,Assumptions!$C$23*Assumptions!$C$5*(1+Assumptions!$C$24)^(AL$4-1),0)</f>
        <v/>
      </c>
      <c r="AM7" s="134">
        <f>IF(AM$2&gt;=Assumptions!$C$31,Assumptions!$C$23*Assumptions!$C$5*(1+Assumptions!$C$24)^(AM$4-1),0)</f>
        <v/>
      </c>
      <c r="AN7" s="134">
        <f>IF(AN$2&gt;=Assumptions!$C$31,Assumptions!$C$23*Assumptions!$C$5*(1+Assumptions!$C$24)^(AN$4-1),0)</f>
        <v/>
      </c>
      <c r="AO7" s="134">
        <f>IF(AO$2&gt;=Assumptions!$C$31,Assumptions!$C$23*Assumptions!$C$5*(1+Assumptions!$C$24)^(AO$4-1),0)</f>
        <v/>
      </c>
      <c r="AP7" s="134">
        <f>IF(AP$2&gt;=Assumptions!$C$31,Assumptions!$C$23*Assumptions!$C$5*(1+Assumptions!$C$24)^(AP$4-1),0)</f>
        <v/>
      </c>
      <c r="AQ7" s="134">
        <f>IF(AQ$2&gt;=Assumptions!$C$31,Assumptions!$C$23*Assumptions!$C$5*(1+Assumptions!$C$24)^(AQ$4-1),0)</f>
        <v/>
      </c>
      <c r="AR7" s="134">
        <f>IF(AR$2&gt;=Assumptions!$C$31,Assumptions!$C$23*Assumptions!$C$5*(1+Assumptions!$C$24)^(AR$4-1),0)</f>
        <v/>
      </c>
      <c r="AS7" s="134">
        <f>IF(AS$2&gt;=Assumptions!$C$31,Assumptions!$C$23*Assumptions!$C$5*(1+Assumptions!$C$24)^(AS$4-1),0)</f>
        <v/>
      </c>
      <c r="AT7" s="134">
        <f>IF(AT$2&gt;=Assumptions!$C$31,Assumptions!$C$23*Assumptions!$C$5*(1+Assumptions!$C$24)^(AT$4-1),0)</f>
        <v/>
      </c>
      <c r="AU7" s="134">
        <f>IF(AU$2&gt;=Assumptions!$C$31,Assumptions!$C$23*Assumptions!$C$5*(1+Assumptions!$C$24)^(AU$4-1),0)</f>
        <v/>
      </c>
      <c r="AV7" s="134">
        <f>IF(AV$2&gt;=Assumptions!$C$31,Assumptions!$C$23*Assumptions!$C$5*(1+Assumptions!$C$24)^(AV$4-1),0)</f>
        <v/>
      </c>
      <c r="AW7" s="134">
        <f>IF(AW$2&gt;=Assumptions!$C$31,Assumptions!$C$23*Assumptions!$C$5*(1+Assumptions!$C$24)^(AW$4-1),0)</f>
        <v/>
      </c>
      <c r="AX7" s="134">
        <f>IF(AX$2&gt;=Assumptions!$C$31,Assumptions!$C$23*Assumptions!$C$5*(1+Assumptions!$C$24)^(AX$4-1),0)</f>
        <v/>
      </c>
      <c r="AY7" s="134">
        <f>IF(AY$2&gt;=Assumptions!$C$31,Assumptions!$C$23*Assumptions!$C$5*(1+Assumptions!$C$24)^(AY$4-1),0)</f>
        <v/>
      </c>
      <c r="AZ7" s="134">
        <f>IF(AZ$2&gt;=Assumptions!$C$31,Assumptions!$C$23*Assumptions!$C$5*(1+Assumptions!$C$24)^(AZ$4-1),0)</f>
        <v/>
      </c>
      <c r="BA7" s="134">
        <f>IF(BA$2&gt;=Assumptions!$C$31,Assumptions!$C$23*Assumptions!$C$5*(1+Assumptions!$C$24)^(BA$4-1),0)</f>
        <v/>
      </c>
      <c r="BB7" s="134">
        <f>IF(BB$2&gt;=Assumptions!$C$31,Assumptions!$C$23*Assumptions!$C$5*(1+Assumptions!$C$24)^(BB$4-1),0)</f>
        <v/>
      </c>
      <c r="BC7" s="134">
        <f>IF(BC$2&gt;=Assumptions!$C$31,Assumptions!$C$23*Assumptions!$C$5*(1+Assumptions!$C$24)^(BC$4-1),0)</f>
        <v/>
      </c>
      <c r="BD7" s="134">
        <f>IF(BD$2&gt;=Assumptions!$C$31,Assumptions!$C$23*Assumptions!$C$5*(1+Assumptions!$C$24)^(BD$4-1),0)</f>
        <v/>
      </c>
      <c r="BE7" s="134">
        <f>IF(BE$2&gt;=Assumptions!$C$31,Assumptions!$C$23*Assumptions!$C$5*(1+Assumptions!$C$24)^(BE$4-1),0)</f>
        <v/>
      </c>
      <c r="BF7" s="134">
        <f>IF(BF$2&gt;=Assumptions!$C$31,Assumptions!$C$23*Assumptions!$C$5*(1+Assumptions!$C$24)^(BF$4-1),0)</f>
        <v/>
      </c>
      <c r="BG7" s="134">
        <f>IF(BG$2&gt;=Assumptions!$C$31,Assumptions!$C$23*Assumptions!$C$5*(1+Assumptions!$C$24)^(BG$4-1),0)</f>
        <v/>
      </c>
      <c r="BH7" s="134">
        <f>IF(BH$2&gt;=Assumptions!$C$31,Assumptions!$C$23*Assumptions!$C$5*(1+Assumptions!$C$24)^(BH$4-1),0)</f>
        <v/>
      </c>
      <c r="BI7" s="134">
        <f>IF(BI$2&gt;=Assumptions!$C$31,Assumptions!$C$23*Assumptions!$C$5*(1+Assumptions!$C$24)^(BI$4-1),0)</f>
        <v/>
      </c>
      <c r="BJ7" s="134">
        <f>IF(BJ$2&gt;=Assumptions!$C$31,Assumptions!$C$23*Assumptions!$C$5*(1+Assumptions!$C$24)^(BJ$4-1),0)</f>
        <v/>
      </c>
      <c r="BK7" s="134">
        <f>IF(BK$2&gt;=Assumptions!$C$31,Assumptions!$C$23*Assumptions!$C$5*(1+Assumptions!$C$24)^(BK$4-1),0)</f>
        <v/>
      </c>
      <c r="BL7" s="134">
        <f>IF(BL$2&gt;=Assumptions!$C$31,Assumptions!$C$23*Assumptions!$C$5*(1+Assumptions!$C$24)^(BL$4-1),0)</f>
        <v/>
      </c>
    </row>
    <row r="8">
      <c r="B8" s="83" t="inlineStr">
        <is>
          <t>Expense reimbursements</t>
        </is>
      </c>
      <c r="D8" s="134">
        <f>IF(D$2&gt;=Assumptions!$C$30,Assumptions!$C$38*Assumptions!$C$5,0)</f>
        <v/>
      </c>
      <c r="E8" s="134">
        <f>IF(E$2&gt;=Assumptions!$C$30,Assumptions!$C$38*Assumptions!$C$5,0)</f>
        <v/>
      </c>
      <c r="F8" s="134">
        <f>IF(F$2&gt;=Assumptions!$C$30,Assumptions!$C$38*Assumptions!$C$5,0)</f>
        <v/>
      </c>
      <c r="G8" s="134">
        <f>IF(G$2&gt;=Assumptions!$C$30,Assumptions!$C$38*Assumptions!$C$5,0)</f>
        <v/>
      </c>
      <c r="H8" s="134">
        <f>IF(H$2&gt;=Assumptions!$C$30,Assumptions!$C$38*Assumptions!$C$5,0)</f>
        <v/>
      </c>
      <c r="I8" s="134">
        <f>IF(I$2&gt;=Assumptions!$C$30,Assumptions!$C$38*Assumptions!$C$5,0)</f>
        <v/>
      </c>
      <c r="J8" s="134">
        <f>IF(J$2&gt;=Assumptions!$C$30,Assumptions!$C$38*Assumptions!$C$5,0)</f>
        <v/>
      </c>
      <c r="K8" s="134">
        <f>IF(K$2&gt;=Assumptions!$C$30,Assumptions!$C$38*Assumptions!$C$5,0)</f>
        <v/>
      </c>
      <c r="L8" s="134">
        <f>IF(L$2&gt;=Assumptions!$C$30,Assumptions!$C$38*Assumptions!$C$5,0)</f>
        <v/>
      </c>
      <c r="M8" s="134">
        <f>IF(M$2&gt;=Assumptions!$C$30,Assumptions!$C$38*Assumptions!$C$5,0)</f>
        <v/>
      </c>
      <c r="N8" s="134">
        <f>IF(N$2&gt;=Assumptions!$C$30,Assumptions!$C$38*Assumptions!$C$5,0)</f>
        <v/>
      </c>
      <c r="O8" s="134">
        <f>IF(O$2&gt;=Assumptions!$C$30,Assumptions!$C$38*Assumptions!$C$5,0)</f>
        <v/>
      </c>
      <c r="P8" s="134">
        <f>IF(P$2&gt;=Assumptions!$C$30,Assumptions!$C$38*Assumptions!$C$5,0)</f>
        <v/>
      </c>
      <c r="Q8" s="134">
        <f>IF(Q$2&gt;=Assumptions!$C$30,Assumptions!$C$38*Assumptions!$C$5,0)</f>
        <v/>
      </c>
      <c r="R8" s="134">
        <f>IF(R$2&gt;=Assumptions!$C$30,Assumptions!$C$38*Assumptions!$C$5,0)</f>
        <v/>
      </c>
      <c r="S8" s="134">
        <f>IF(S$2&gt;=Assumptions!$C$30,Assumptions!$C$38*Assumptions!$C$5,0)</f>
        <v/>
      </c>
      <c r="T8" s="134">
        <f>IF(T$2&gt;=Assumptions!$C$30,Assumptions!$C$38*Assumptions!$C$5,0)</f>
        <v/>
      </c>
      <c r="U8" s="134">
        <f>IF(U$2&gt;=Assumptions!$C$30,Assumptions!$C$38*Assumptions!$C$5,0)</f>
        <v/>
      </c>
      <c r="V8" s="134">
        <f>IF(V$2&gt;=Assumptions!$C$30,Assumptions!$C$38*Assumptions!$C$5,0)</f>
        <v/>
      </c>
      <c r="W8" s="134">
        <f>IF(W$2&gt;=Assumptions!$C$30,Assumptions!$C$38*Assumptions!$C$5,0)</f>
        <v/>
      </c>
      <c r="X8" s="134">
        <f>IF(X$2&gt;=Assumptions!$C$30,Assumptions!$C$38*Assumptions!$C$5,0)</f>
        <v/>
      </c>
      <c r="Y8" s="134">
        <f>IF(Y$2&gt;=Assumptions!$C$30,Assumptions!$C$38*Assumptions!$C$5,0)</f>
        <v/>
      </c>
      <c r="Z8" s="134">
        <f>IF(Z$2&gt;=Assumptions!$C$30,Assumptions!$C$38*Assumptions!$C$5,0)</f>
        <v/>
      </c>
      <c r="AA8" s="134">
        <f>IF(AA$2&gt;=Assumptions!$C$30,Assumptions!$C$38*Assumptions!$C$5,0)</f>
        <v/>
      </c>
      <c r="AB8" s="134">
        <f>IF(AB$2&gt;=Assumptions!$C$30,Assumptions!$C$38*Assumptions!$C$5,0)</f>
        <v/>
      </c>
      <c r="AC8" s="134">
        <f>IF(AC$2&gt;=Assumptions!$C$30,Assumptions!$C$38*Assumptions!$C$5,0)</f>
        <v/>
      </c>
      <c r="AD8" s="134">
        <f>IF(AD$2&gt;=Assumptions!$C$30,Assumptions!$C$38*Assumptions!$C$5,0)</f>
        <v/>
      </c>
      <c r="AE8" s="134">
        <f>IF(AE$2&gt;=Assumptions!$C$30,Assumptions!$C$38*Assumptions!$C$5,0)</f>
        <v/>
      </c>
      <c r="AF8" s="134">
        <f>IF(AF$2&gt;=Assumptions!$C$30,Assumptions!$C$38*Assumptions!$C$5,0)</f>
        <v/>
      </c>
      <c r="AG8" s="134">
        <f>IF(AG$2&gt;=Assumptions!$C$30,Assumptions!$C$38*Assumptions!$C$5,0)</f>
        <v/>
      </c>
      <c r="AH8" s="134">
        <f>IF(AH$2&gt;=Assumptions!$C$30,Assumptions!$C$38*Assumptions!$C$5,0)</f>
        <v/>
      </c>
      <c r="AI8" s="134">
        <f>IF(AI$2&gt;=Assumptions!$C$30,Assumptions!$C$38*Assumptions!$C$5,0)</f>
        <v/>
      </c>
      <c r="AJ8" s="134">
        <f>IF(AJ$2&gt;=Assumptions!$C$30,Assumptions!$C$38*Assumptions!$C$5,0)</f>
        <v/>
      </c>
      <c r="AK8" s="134">
        <f>IF(AK$2&gt;=Assumptions!$C$30,Assumptions!$C$38*Assumptions!$C$5,0)</f>
        <v/>
      </c>
      <c r="AL8" s="134">
        <f>IF(AL$2&gt;=Assumptions!$C$30,Assumptions!$C$38*Assumptions!$C$5,0)</f>
        <v/>
      </c>
      <c r="AM8" s="134">
        <f>IF(AM$2&gt;=Assumptions!$C$30,Assumptions!$C$38*Assumptions!$C$5,0)</f>
        <v/>
      </c>
      <c r="AN8" s="134">
        <f>IF(AN$2&gt;=Assumptions!$C$30,Assumptions!$C$38*Assumptions!$C$5,0)</f>
        <v/>
      </c>
      <c r="AO8" s="134">
        <f>IF(AO$2&gt;=Assumptions!$C$30,Assumptions!$C$38*Assumptions!$C$5,0)</f>
        <v/>
      </c>
      <c r="AP8" s="134">
        <f>IF(AP$2&gt;=Assumptions!$C$30,Assumptions!$C$38*Assumptions!$C$5,0)</f>
        <v/>
      </c>
      <c r="AQ8" s="134">
        <f>IF(AQ$2&gt;=Assumptions!$C$30,Assumptions!$C$38*Assumptions!$C$5,0)</f>
        <v/>
      </c>
      <c r="AR8" s="134">
        <f>IF(AR$2&gt;=Assumptions!$C$30,Assumptions!$C$38*Assumptions!$C$5,0)</f>
        <v/>
      </c>
      <c r="AS8" s="134">
        <f>IF(AS$2&gt;=Assumptions!$C$30,Assumptions!$C$38*Assumptions!$C$5,0)</f>
        <v/>
      </c>
      <c r="AT8" s="134">
        <f>IF(AT$2&gt;=Assumptions!$C$30,Assumptions!$C$38*Assumptions!$C$5,0)</f>
        <v/>
      </c>
      <c r="AU8" s="134">
        <f>IF(AU$2&gt;=Assumptions!$C$30,Assumptions!$C$38*Assumptions!$C$5,0)</f>
        <v/>
      </c>
      <c r="AV8" s="134">
        <f>IF(AV$2&gt;=Assumptions!$C$30,Assumptions!$C$38*Assumptions!$C$5,0)</f>
        <v/>
      </c>
      <c r="AW8" s="134">
        <f>IF(AW$2&gt;=Assumptions!$C$30,Assumptions!$C$38*Assumptions!$C$5,0)</f>
        <v/>
      </c>
      <c r="AX8" s="134">
        <f>IF(AX$2&gt;=Assumptions!$C$30,Assumptions!$C$38*Assumptions!$C$5,0)</f>
        <v/>
      </c>
      <c r="AY8" s="134">
        <f>IF(AY$2&gt;=Assumptions!$C$30,Assumptions!$C$38*Assumptions!$C$5,0)</f>
        <v/>
      </c>
      <c r="AZ8" s="134">
        <f>IF(AZ$2&gt;=Assumptions!$C$30,Assumptions!$C$38*Assumptions!$C$5,0)</f>
        <v/>
      </c>
      <c r="BA8" s="134">
        <f>IF(BA$2&gt;=Assumptions!$C$30,Assumptions!$C$38*Assumptions!$C$5,0)</f>
        <v/>
      </c>
      <c r="BB8" s="134">
        <f>IF(BB$2&gt;=Assumptions!$C$30,Assumptions!$C$38*Assumptions!$C$5,0)</f>
        <v/>
      </c>
      <c r="BC8" s="134">
        <f>IF(BC$2&gt;=Assumptions!$C$30,Assumptions!$C$38*Assumptions!$C$5,0)</f>
        <v/>
      </c>
      <c r="BD8" s="134">
        <f>IF(BD$2&gt;=Assumptions!$C$30,Assumptions!$C$38*Assumptions!$C$5,0)</f>
        <v/>
      </c>
      <c r="BE8" s="134">
        <f>IF(BE$2&gt;=Assumptions!$C$30,Assumptions!$C$38*Assumptions!$C$5,0)</f>
        <v/>
      </c>
      <c r="BF8" s="134">
        <f>IF(BF$2&gt;=Assumptions!$C$30,Assumptions!$C$38*Assumptions!$C$5,0)</f>
        <v/>
      </c>
      <c r="BG8" s="134">
        <f>IF(BG$2&gt;=Assumptions!$C$30,Assumptions!$C$38*Assumptions!$C$5,0)</f>
        <v/>
      </c>
      <c r="BH8" s="134">
        <f>IF(BH$2&gt;=Assumptions!$C$30,Assumptions!$C$38*Assumptions!$C$5,0)</f>
        <v/>
      </c>
      <c r="BI8" s="134">
        <f>IF(BI$2&gt;=Assumptions!$C$30,Assumptions!$C$38*Assumptions!$C$5,0)</f>
        <v/>
      </c>
      <c r="BJ8" s="134">
        <f>IF(BJ$2&gt;=Assumptions!$C$30,Assumptions!$C$38*Assumptions!$C$5,0)</f>
        <v/>
      </c>
      <c r="BK8" s="134">
        <f>IF(BK$2&gt;=Assumptions!$C$30,Assumptions!$C$38*Assumptions!$C$5,0)</f>
        <v/>
      </c>
      <c r="BL8" s="134">
        <f>IF(BL$2&gt;=Assumptions!$C$30,Assumptions!$C$38*Assumptions!$C$5,0)</f>
        <v/>
      </c>
    </row>
    <row r="9">
      <c r="B9" s="83" t="inlineStr">
        <is>
          <t>Vacancy and credit loss</t>
        </is>
      </c>
      <c r="D9" s="134">
        <f>-(D7+D8)*Assumptions!$C$41</f>
        <v/>
      </c>
      <c r="E9" s="134">
        <f>-(E7+E8)*Assumptions!$C$41</f>
        <v/>
      </c>
      <c r="F9" s="134">
        <f>-(F7+F8)*Assumptions!$C$41</f>
        <v/>
      </c>
      <c r="G9" s="134">
        <f>-(G7+G8)*Assumptions!$C$41</f>
        <v/>
      </c>
      <c r="H9" s="134">
        <f>-(H7+H8)*Assumptions!$C$41</f>
        <v/>
      </c>
      <c r="I9" s="134">
        <f>-(I7+I8)*Assumptions!$C$41</f>
        <v/>
      </c>
      <c r="J9" s="134">
        <f>-(J7+J8)*Assumptions!$C$41</f>
        <v/>
      </c>
      <c r="K9" s="134">
        <f>-(K7+K8)*Assumptions!$C$41</f>
        <v/>
      </c>
      <c r="L9" s="134">
        <f>-(L7+L8)*Assumptions!$C$41</f>
        <v/>
      </c>
      <c r="M9" s="134">
        <f>-(M7+M8)*Assumptions!$C$41</f>
        <v/>
      </c>
      <c r="N9" s="134">
        <f>-(N7+N8)*Assumptions!$C$41</f>
        <v/>
      </c>
      <c r="O9" s="134">
        <f>-(O7+O8)*Assumptions!$C$41</f>
        <v/>
      </c>
      <c r="P9" s="134">
        <f>-(P7+P8)*Assumptions!$C$41</f>
        <v/>
      </c>
      <c r="Q9" s="134">
        <f>-(Q7+Q8)*Assumptions!$C$41</f>
        <v/>
      </c>
      <c r="R9" s="134">
        <f>-(R7+R8)*Assumptions!$C$41</f>
        <v/>
      </c>
      <c r="S9" s="134">
        <f>-(S7+S8)*Assumptions!$C$41</f>
        <v/>
      </c>
      <c r="T9" s="134">
        <f>-(T7+T8)*Assumptions!$C$41</f>
        <v/>
      </c>
      <c r="U9" s="134">
        <f>-(U7+U8)*Assumptions!$C$41</f>
        <v/>
      </c>
      <c r="V9" s="134">
        <f>-(V7+V8)*Assumptions!$C$41</f>
        <v/>
      </c>
      <c r="W9" s="134">
        <f>-(W7+W8)*Assumptions!$C$41</f>
        <v/>
      </c>
      <c r="X9" s="134">
        <f>-(X7+X8)*Assumptions!$C$41</f>
        <v/>
      </c>
      <c r="Y9" s="134">
        <f>-(Y7+Y8)*Assumptions!$C$41</f>
        <v/>
      </c>
      <c r="Z9" s="134">
        <f>-(Z7+Z8)*Assumptions!$C$41</f>
        <v/>
      </c>
      <c r="AA9" s="134">
        <f>-(AA7+AA8)*Assumptions!$C$41</f>
        <v/>
      </c>
      <c r="AB9" s="134">
        <f>-(AB7+AB8)*Assumptions!$C$41</f>
        <v/>
      </c>
      <c r="AC9" s="134">
        <f>-(AC7+AC8)*Assumptions!$C$41</f>
        <v/>
      </c>
      <c r="AD9" s="134">
        <f>-(AD7+AD8)*Assumptions!$C$41</f>
        <v/>
      </c>
      <c r="AE9" s="134">
        <f>-(AE7+AE8)*Assumptions!$C$41</f>
        <v/>
      </c>
      <c r="AF9" s="134">
        <f>-(AF7+AF8)*Assumptions!$C$41</f>
        <v/>
      </c>
      <c r="AG9" s="134">
        <f>-(AG7+AG8)*Assumptions!$C$41</f>
        <v/>
      </c>
      <c r="AH9" s="134">
        <f>-(AH7+AH8)*Assumptions!$C$41</f>
        <v/>
      </c>
      <c r="AI9" s="134">
        <f>-(AI7+AI8)*Assumptions!$C$41</f>
        <v/>
      </c>
      <c r="AJ9" s="134">
        <f>-(AJ7+AJ8)*Assumptions!$C$41</f>
        <v/>
      </c>
      <c r="AK9" s="134">
        <f>-(AK7+AK8)*Assumptions!$C$41</f>
        <v/>
      </c>
      <c r="AL9" s="134">
        <f>-(AL7+AL8)*Assumptions!$C$41</f>
        <v/>
      </c>
      <c r="AM9" s="134">
        <f>-(AM7+AM8)*Assumptions!$C$41</f>
        <v/>
      </c>
      <c r="AN9" s="134">
        <f>-(AN7+AN8)*Assumptions!$C$41</f>
        <v/>
      </c>
      <c r="AO9" s="134">
        <f>-(AO7+AO8)*Assumptions!$C$41</f>
        <v/>
      </c>
      <c r="AP9" s="134">
        <f>-(AP7+AP8)*Assumptions!$C$41</f>
        <v/>
      </c>
      <c r="AQ9" s="134">
        <f>-(AQ7+AQ8)*Assumptions!$C$41</f>
        <v/>
      </c>
      <c r="AR9" s="134">
        <f>-(AR7+AR8)*Assumptions!$C$41</f>
        <v/>
      </c>
      <c r="AS9" s="134">
        <f>-(AS7+AS8)*Assumptions!$C$41</f>
        <v/>
      </c>
      <c r="AT9" s="134">
        <f>-(AT7+AT8)*Assumptions!$C$41</f>
        <v/>
      </c>
      <c r="AU9" s="134">
        <f>-(AU7+AU8)*Assumptions!$C$41</f>
        <v/>
      </c>
      <c r="AV9" s="134">
        <f>-(AV7+AV8)*Assumptions!$C$41</f>
        <v/>
      </c>
      <c r="AW9" s="134">
        <f>-(AW7+AW8)*Assumptions!$C$41</f>
        <v/>
      </c>
      <c r="AX9" s="134">
        <f>-(AX7+AX8)*Assumptions!$C$41</f>
        <v/>
      </c>
      <c r="AY9" s="134">
        <f>-(AY7+AY8)*Assumptions!$C$41</f>
        <v/>
      </c>
      <c r="AZ9" s="134">
        <f>-(AZ7+AZ8)*Assumptions!$C$41</f>
        <v/>
      </c>
      <c r="BA9" s="134">
        <f>-(BA7+BA8)*Assumptions!$C$41</f>
        <v/>
      </c>
      <c r="BB9" s="134">
        <f>-(BB7+BB8)*Assumptions!$C$41</f>
        <v/>
      </c>
      <c r="BC9" s="134">
        <f>-(BC7+BC8)*Assumptions!$C$41</f>
        <v/>
      </c>
      <c r="BD9" s="134">
        <f>-(BD7+BD8)*Assumptions!$C$41</f>
        <v/>
      </c>
      <c r="BE9" s="134">
        <f>-(BE7+BE8)*Assumptions!$C$41</f>
        <v/>
      </c>
      <c r="BF9" s="134">
        <f>-(BF7+BF8)*Assumptions!$C$41</f>
        <v/>
      </c>
      <c r="BG9" s="134">
        <f>-(BG7+BG8)*Assumptions!$C$41</f>
        <v/>
      </c>
      <c r="BH9" s="134">
        <f>-(BH7+BH8)*Assumptions!$C$41</f>
        <v/>
      </c>
      <c r="BI9" s="134">
        <f>-(BI7+BI8)*Assumptions!$C$41</f>
        <v/>
      </c>
      <c r="BJ9" s="134">
        <f>-(BJ7+BJ8)*Assumptions!$C$41</f>
        <v/>
      </c>
      <c r="BK9" s="134">
        <f>-(BK7+BK8)*Assumptions!$C$41</f>
        <v/>
      </c>
      <c r="BL9" s="134">
        <f>-(BL7+BL8)*Assumptions!$C$41</f>
        <v/>
      </c>
    </row>
    <row r="10">
      <c r="B10" s="117" t="inlineStr">
        <is>
          <t>EFFECTIVE GROSS INCOME</t>
        </is>
      </c>
      <c r="C10" s="117" t="n"/>
      <c r="D10" s="135">
        <f>SUM(D7:D9)</f>
        <v/>
      </c>
      <c r="E10" s="135">
        <f>SUM(E7:E9)</f>
        <v/>
      </c>
      <c r="F10" s="135">
        <f>SUM(F7:F9)</f>
        <v/>
      </c>
      <c r="G10" s="135">
        <f>SUM(G7:G9)</f>
        <v/>
      </c>
      <c r="H10" s="135">
        <f>SUM(H7:H9)</f>
        <v/>
      </c>
      <c r="I10" s="135">
        <f>SUM(I7:I9)</f>
        <v/>
      </c>
      <c r="J10" s="135">
        <f>SUM(J7:J9)</f>
        <v/>
      </c>
      <c r="K10" s="135">
        <f>SUM(K7:K9)</f>
        <v/>
      </c>
      <c r="L10" s="135">
        <f>SUM(L7:L9)</f>
        <v/>
      </c>
      <c r="M10" s="135">
        <f>SUM(M7:M9)</f>
        <v/>
      </c>
      <c r="N10" s="135">
        <f>SUM(N7:N9)</f>
        <v/>
      </c>
      <c r="O10" s="135">
        <f>SUM(O7:O9)</f>
        <v/>
      </c>
      <c r="P10" s="135">
        <f>SUM(P7:P9)</f>
        <v/>
      </c>
      <c r="Q10" s="135">
        <f>SUM(Q7:Q9)</f>
        <v/>
      </c>
      <c r="R10" s="135">
        <f>SUM(R7:R9)</f>
        <v/>
      </c>
      <c r="S10" s="135">
        <f>SUM(S7:S9)</f>
        <v/>
      </c>
      <c r="T10" s="135">
        <f>SUM(T7:T9)</f>
        <v/>
      </c>
      <c r="U10" s="135">
        <f>SUM(U7:U9)</f>
        <v/>
      </c>
      <c r="V10" s="135">
        <f>SUM(V7:V9)</f>
        <v/>
      </c>
      <c r="W10" s="135">
        <f>SUM(W7:W9)</f>
        <v/>
      </c>
      <c r="X10" s="135">
        <f>SUM(X7:X9)</f>
        <v/>
      </c>
      <c r="Y10" s="135">
        <f>SUM(Y7:Y9)</f>
        <v/>
      </c>
      <c r="Z10" s="135">
        <f>SUM(Z7:Z9)</f>
        <v/>
      </c>
      <c r="AA10" s="135">
        <f>SUM(AA7:AA9)</f>
        <v/>
      </c>
      <c r="AB10" s="135">
        <f>SUM(AB7:AB9)</f>
        <v/>
      </c>
      <c r="AC10" s="135">
        <f>SUM(AC7:AC9)</f>
        <v/>
      </c>
      <c r="AD10" s="135">
        <f>SUM(AD7:AD9)</f>
        <v/>
      </c>
      <c r="AE10" s="135">
        <f>SUM(AE7:AE9)</f>
        <v/>
      </c>
      <c r="AF10" s="135">
        <f>SUM(AF7:AF9)</f>
        <v/>
      </c>
      <c r="AG10" s="135">
        <f>SUM(AG7:AG9)</f>
        <v/>
      </c>
      <c r="AH10" s="135">
        <f>SUM(AH7:AH9)</f>
        <v/>
      </c>
      <c r="AI10" s="135">
        <f>SUM(AI7:AI9)</f>
        <v/>
      </c>
      <c r="AJ10" s="135">
        <f>SUM(AJ7:AJ9)</f>
        <v/>
      </c>
      <c r="AK10" s="135">
        <f>SUM(AK7:AK9)</f>
        <v/>
      </c>
      <c r="AL10" s="135">
        <f>SUM(AL7:AL9)</f>
        <v/>
      </c>
      <c r="AM10" s="135">
        <f>SUM(AM7:AM9)</f>
        <v/>
      </c>
      <c r="AN10" s="135">
        <f>SUM(AN7:AN9)</f>
        <v/>
      </c>
      <c r="AO10" s="135">
        <f>SUM(AO7:AO9)</f>
        <v/>
      </c>
      <c r="AP10" s="135">
        <f>SUM(AP7:AP9)</f>
        <v/>
      </c>
      <c r="AQ10" s="135">
        <f>SUM(AQ7:AQ9)</f>
        <v/>
      </c>
      <c r="AR10" s="135">
        <f>SUM(AR7:AR9)</f>
        <v/>
      </c>
      <c r="AS10" s="135">
        <f>SUM(AS7:AS9)</f>
        <v/>
      </c>
      <c r="AT10" s="135">
        <f>SUM(AT7:AT9)</f>
        <v/>
      </c>
      <c r="AU10" s="135">
        <f>SUM(AU7:AU9)</f>
        <v/>
      </c>
      <c r="AV10" s="135">
        <f>SUM(AV7:AV9)</f>
        <v/>
      </c>
      <c r="AW10" s="135">
        <f>SUM(AW7:AW9)</f>
        <v/>
      </c>
      <c r="AX10" s="135">
        <f>SUM(AX7:AX9)</f>
        <v/>
      </c>
      <c r="AY10" s="135">
        <f>SUM(AY7:AY9)</f>
        <v/>
      </c>
      <c r="AZ10" s="135">
        <f>SUM(AZ7:AZ9)</f>
        <v/>
      </c>
      <c r="BA10" s="135">
        <f>SUM(BA7:BA9)</f>
        <v/>
      </c>
      <c r="BB10" s="135">
        <f>SUM(BB7:BB9)</f>
        <v/>
      </c>
      <c r="BC10" s="135">
        <f>SUM(BC7:BC9)</f>
        <v/>
      </c>
      <c r="BD10" s="135">
        <f>SUM(BD7:BD9)</f>
        <v/>
      </c>
      <c r="BE10" s="135">
        <f>SUM(BE7:BE9)</f>
        <v/>
      </c>
      <c r="BF10" s="135">
        <f>SUM(BF7:BF9)</f>
        <v/>
      </c>
      <c r="BG10" s="135">
        <f>SUM(BG7:BG9)</f>
        <v/>
      </c>
      <c r="BH10" s="135">
        <f>SUM(BH7:BH9)</f>
        <v/>
      </c>
      <c r="BI10" s="135">
        <f>SUM(BI7:BI9)</f>
        <v/>
      </c>
      <c r="BJ10" s="135">
        <f>SUM(BJ7:BJ9)</f>
        <v/>
      </c>
      <c r="BK10" s="135">
        <f>SUM(BK7:BK9)</f>
        <v/>
      </c>
      <c r="BL10" s="135">
        <f>SUM(BL7:BL9)</f>
        <v/>
      </c>
    </row>
    <row r="11"/>
    <row r="12">
      <c r="B12" s="59" t="inlineStr">
        <is>
          <t>EXPENSES</t>
        </is>
      </c>
      <c r="C12" s="59" t="n"/>
      <c r="D12" s="59" t="n"/>
      <c r="E12" s="59" t="n"/>
      <c r="F12" s="59" t="n"/>
      <c r="G12" s="59" t="n"/>
      <c r="H12" s="59" t="n"/>
      <c r="I12" s="59" t="n"/>
      <c r="J12" s="59" t="n"/>
      <c r="K12" s="59" t="n"/>
      <c r="L12" s="59" t="n"/>
      <c r="M12" s="59" t="n"/>
      <c r="N12" s="59" t="n"/>
      <c r="O12" s="59" t="n"/>
      <c r="P12" s="59" t="n"/>
      <c r="Q12" s="59" t="n"/>
      <c r="R12" s="59" t="n"/>
      <c r="S12" s="59" t="n"/>
      <c r="T12" s="59" t="n"/>
      <c r="U12" s="59" t="n"/>
      <c r="V12" s="59" t="n"/>
      <c r="W12" s="59" t="n"/>
      <c r="X12" s="59" t="n"/>
      <c r="Y12" s="59" t="n"/>
      <c r="Z12" s="59" t="n"/>
      <c r="AA12" s="59" t="n"/>
      <c r="AB12" s="59" t="n"/>
      <c r="AC12" s="59" t="n"/>
      <c r="AD12" s="59" t="n"/>
      <c r="AE12" s="59" t="n"/>
      <c r="AF12" s="59" t="n"/>
      <c r="AG12" s="59" t="n"/>
      <c r="AH12" s="59" t="n"/>
      <c r="AI12" s="59" t="n"/>
      <c r="AJ12" s="59" t="n"/>
      <c r="AK12" s="59" t="n"/>
      <c r="AL12" s="59" t="n"/>
      <c r="AM12" s="59" t="n"/>
      <c r="AN12" s="59" t="n"/>
      <c r="AO12" s="59" t="n"/>
      <c r="AP12" s="59" t="n"/>
      <c r="AQ12" s="59" t="n"/>
      <c r="AR12" s="59" t="n"/>
      <c r="AS12" s="59" t="n"/>
      <c r="AT12" s="59" t="n"/>
      <c r="AU12" s="59" t="n"/>
      <c r="AV12" s="59" t="n"/>
      <c r="AW12" s="59" t="n"/>
      <c r="AX12" s="59" t="n"/>
      <c r="AY12" s="59" t="n"/>
      <c r="AZ12" s="59" t="n"/>
      <c r="BA12" s="59" t="n"/>
      <c r="BB12" s="59" t="n"/>
      <c r="BC12" s="59" t="n"/>
      <c r="BD12" s="59" t="n"/>
      <c r="BE12" s="59" t="n"/>
      <c r="BF12" s="59" t="n"/>
      <c r="BG12" s="59" t="n"/>
      <c r="BH12" s="59" t="n"/>
      <c r="BI12" s="59" t="n"/>
      <c r="BJ12" s="59" t="n"/>
      <c r="BK12" s="59" t="n"/>
      <c r="BL12" s="59" t="n"/>
    </row>
    <row r="13">
      <c r="B13" s="83" t="inlineStr">
        <is>
          <t>Operating expenses (taxes, insurance, maintenance)</t>
        </is>
      </c>
      <c r="D13" s="134">
        <f>-Assumptions!$C$38*Assumptions!$C$5</f>
        <v/>
      </c>
      <c r="E13" s="134">
        <f>-Assumptions!$C$38*Assumptions!$C$5</f>
        <v/>
      </c>
      <c r="F13" s="134">
        <f>-Assumptions!$C$38*Assumptions!$C$5</f>
        <v/>
      </c>
      <c r="G13" s="134">
        <f>-Assumptions!$C$38*Assumptions!$C$5</f>
        <v/>
      </c>
      <c r="H13" s="134">
        <f>-Assumptions!$C$38*Assumptions!$C$5</f>
        <v/>
      </c>
      <c r="I13" s="134">
        <f>-Assumptions!$C$38*Assumptions!$C$5</f>
        <v/>
      </c>
      <c r="J13" s="134">
        <f>-Assumptions!$C$38*Assumptions!$C$5</f>
        <v/>
      </c>
      <c r="K13" s="134">
        <f>-Assumptions!$C$38*Assumptions!$C$5</f>
        <v/>
      </c>
      <c r="L13" s="134">
        <f>-Assumptions!$C$38*Assumptions!$C$5</f>
        <v/>
      </c>
      <c r="M13" s="134">
        <f>-Assumptions!$C$38*Assumptions!$C$5</f>
        <v/>
      </c>
      <c r="N13" s="134">
        <f>-Assumptions!$C$38*Assumptions!$C$5</f>
        <v/>
      </c>
      <c r="O13" s="134">
        <f>-Assumptions!$C$38*Assumptions!$C$5</f>
        <v/>
      </c>
      <c r="P13" s="134">
        <f>-Assumptions!$C$38*Assumptions!$C$5</f>
        <v/>
      </c>
      <c r="Q13" s="134">
        <f>-Assumptions!$C$38*Assumptions!$C$5</f>
        <v/>
      </c>
      <c r="R13" s="134">
        <f>-Assumptions!$C$38*Assumptions!$C$5</f>
        <v/>
      </c>
      <c r="S13" s="134">
        <f>-Assumptions!$C$38*Assumptions!$C$5</f>
        <v/>
      </c>
      <c r="T13" s="134">
        <f>-Assumptions!$C$38*Assumptions!$C$5</f>
        <v/>
      </c>
      <c r="U13" s="134">
        <f>-Assumptions!$C$38*Assumptions!$C$5</f>
        <v/>
      </c>
      <c r="V13" s="134">
        <f>-Assumptions!$C$38*Assumptions!$C$5</f>
        <v/>
      </c>
      <c r="W13" s="134">
        <f>-Assumptions!$C$38*Assumptions!$C$5</f>
        <v/>
      </c>
      <c r="X13" s="134">
        <f>-Assumptions!$C$38*Assumptions!$C$5</f>
        <v/>
      </c>
      <c r="Y13" s="134">
        <f>-Assumptions!$C$38*Assumptions!$C$5</f>
        <v/>
      </c>
      <c r="Z13" s="134">
        <f>-Assumptions!$C$38*Assumptions!$C$5</f>
        <v/>
      </c>
      <c r="AA13" s="134">
        <f>-Assumptions!$C$38*Assumptions!$C$5</f>
        <v/>
      </c>
      <c r="AB13" s="134">
        <f>-Assumptions!$C$38*Assumptions!$C$5</f>
        <v/>
      </c>
      <c r="AC13" s="134">
        <f>-Assumptions!$C$38*Assumptions!$C$5</f>
        <v/>
      </c>
      <c r="AD13" s="134">
        <f>-Assumptions!$C$38*Assumptions!$C$5</f>
        <v/>
      </c>
      <c r="AE13" s="134">
        <f>-Assumptions!$C$38*Assumptions!$C$5</f>
        <v/>
      </c>
      <c r="AF13" s="134">
        <f>-Assumptions!$C$38*Assumptions!$C$5</f>
        <v/>
      </c>
      <c r="AG13" s="134">
        <f>-Assumptions!$C$38*Assumptions!$C$5</f>
        <v/>
      </c>
      <c r="AH13" s="134">
        <f>-Assumptions!$C$38*Assumptions!$C$5</f>
        <v/>
      </c>
      <c r="AI13" s="134">
        <f>-Assumptions!$C$38*Assumptions!$C$5</f>
        <v/>
      </c>
      <c r="AJ13" s="134">
        <f>-Assumptions!$C$38*Assumptions!$C$5</f>
        <v/>
      </c>
      <c r="AK13" s="134">
        <f>-Assumptions!$C$38*Assumptions!$C$5</f>
        <v/>
      </c>
      <c r="AL13" s="134">
        <f>-Assumptions!$C$38*Assumptions!$C$5</f>
        <v/>
      </c>
      <c r="AM13" s="134">
        <f>-Assumptions!$C$38*Assumptions!$C$5</f>
        <v/>
      </c>
      <c r="AN13" s="134">
        <f>-Assumptions!$C$38*Assumptions!$C$5</f>
        <v/>
      </c>
      <c r="AO13" s="134">
        <f>-Assumptions!$C$38*Assumptions!$C$5</f>
        <v/>
      </c>
      <c r="AP13" s="134">
        <f>-Assumptions!$C$38*Assumptions!$C$5</f>
        <v/>
      </c>
      <c r="AQ13" s="134">
        <f>-Assumptions!$C$38*Assumptions!$C$5</f>
        <v/>
      </c>
      <c r="AR13" s="134">
        <f>-Assumptions!$C$38*Assumptions!$C$5</f>
        <v/>
      </c>
      <c r="AS13" s="134">
        <f>-Assumptions!$C$38*Assumptions!$C$5</f>
        <v/>
      </c>
      <c r="AT13" s="134">
        <f>-Assumptions!$C$38*Assumptions!$C$5</f>
        <v/>
      </c>
      <c r="AU13" s="134">
        <f>-Assumptions!$C$38*Assumptions!$C$5</f>
        <v/>
      </c>
      <c r="AV13" s="134">
        <f>-Assumptions!$C$38*Assumptions!$C$5</f>
        <v/>
      </c>
      <c r="AW13" s="134">
        <f>-Assumptions!$C$38*Assumptions!$C$5</f>
        <v/>
      </c>
      <c r="AX13" s="134">
        <f>-Assumptions!$C$38*Assumptions!$C$5</f>
        <v/>
      </c>
      <c r="AY13" s="134">
        <f>-Assumptions!$C$38*Assumptions!$C$5</f>
        <v/>
      </c>
      <c r="AZ13" s="134">
        <f>-Assumptions!$C$38*Assumptions!$C$5</f>
        <v/>
      </c>
      <c r="BA13" s="134">
        <f>-Assumptions!$C$38*Assumptions!$C$5</f>
        <v/>
      </c>
      <c r="BB13" s="134">
        <f>-Assumptions!$C$38*Assumptions!$C$5</f>
        <v/>
      </c>
      <c r="BC13" s="134">
        <f>-Assumptions!$C$38*Assumptions!$C$5</f>
        <v/>
      </c>
      <c r="BD13" s="134">
        <f>-Assumptions!$C$38*Assumptions!$C$5</f>
        <v/>
      </c>
      <c r="BE13" s="134">
        <f>-Assumptions!$C$38*Assumptions!$C$5</f>
        <v/>
      </c>
      <c r="BF13" s="134">
        <f>-Assumptions!$C$38*Assumptions!$C$5</f>
        <v/>
      </c>
      <c r="BG13" s="134">
        <f>-Assumptions!$C$38*Assumptions!$C$5</f>
        <v/>
      </c>
      <c r="BH13" s="134">
        <f>-Assumptions!$C$38*Assumptions!$C$5</f>
        <v/>
      </c>
      <c r="BI13" s="134">
        <f>-Assumptions!$C$38*Assumptions!$C$5</f>
        <v/>
      </c>
      <c r="BJ13" s="134">
        <f>-Assumptions!$C$38*Assumptions!$C$5</f>
        <v/>
      </c>
      <c r="BK13" s="134">
        <f>-Assumptions!$C$38*Assumptions!$C$5</f>
        <v/>
      </c>
      <c r="BL13" s="134">
        <f>-Assumptions!$C$38*Assumptions!$C$5</f>
        <v/>
      </c>
    </row>
    <row r="14">
      <c r="B14" s="83" t="inlineStr">
        <is>
          <t>Management fee</t>
        </is>
      </c>
      <c r="D14" s="134">
        <f>-D7*Assumptions!$C$39</f>
        <v/>
      </c>
      <c r="E14" s="134">
        <f>-E7*Assumptions!$C$39</f>
        <v/>
      </c>
      <c r="F14" s="134">
        <f>-F7*Assumptions!$C$39</f>
        <v/>
      </c>
      <c r="G14" s="134">
        <f>-G7*Assumptions!$C$39</f>
        <v/>
      </c>
      <c r="H14" s="134">
        <f>-H7*Assumptions!$C$39</f>
        <v/>
      </c>
      <c r="I14" s="134">
        <f>-I7*Assumptions!$C$39</f>
        <v/>
      </c>
      <c r="J14" s="134">
        <f>-J7*Assumptions!$C$39</f>
        <v/>
      </c>
      <c r="K14" s="134">
        <f>-K7*Assumptions!$C$39</f>
        <v/>
      </c>
      <c r="L14" s="134">
        <f>-L7*Assumptions!$C$39</f>
        <v/>
      </c>
      <c r="M14" s="134">
        <f>-M7*Assumptions!$C$39</f>
        <v/>
      </c>
      <c r="N14" s="134">
        <f>-N7*Assumptions!$C$39</f>
        <v/>
      </c>
      <c r="O14" s="134">
        <f>-O7*Assumptions!$C$39</f>
        <v/>
      </c>
      <c r="P14" s="134">
        <f>-P7*Assumptions!$C$39</f>
        <v/>
      </c>
      <c r="Q14" s="134">
        <f>-Q7*Assumptions!$C$39</f>
        <v/>
      </c>
      <c r="R14" s="134">
        <f>-R7*Assumptions!$C$39</f>
        <v/>
      </c>
      <c r="S14" s="134">
        <f>-S7*Assumptions!$C$39</f>
        <v/>
      </c>
      <c r="T14" s="134">
        <f>-T7*Assumptions!$C$39</f>
        <v/>
      </c>
      <c r="U14" s="134">
        <f>-U7*Assumptions!$C$39</f>
        <v/>
      </c>
      <c r="V14" s="134">
        <f>-V7*Assumptions!$C$39</f>
        <v/>
      </c>
      <c r="W14" s="134">
        <f>-W7*Assumptions!$C$39</f>
        <v/>
      </c>
      <c r="X14" s="134">
        <f>-X7*Assumptions!$C$39</f>
        <v/>
      </c>
      <c r="Y14" s="134">
        <f>-Y7*Assumptions!$C$39</f>
        <v/>
      </c>
      <c r="Z14" s="134">
        <f>-Z7*Assumptions!$C$39</f>
        <v/>
      </c>
      <c r="AA14" s="134">
        <f>-AA7*Assumptions!$C$39</f>
        <v/>
      </c>
      <c r="AB14" s="134">
        <f>-AB7*Assumptions!$C$39</f>
        <v/>
      </c>
      <c r="AC14" s="134">
        <f>-AC7*Assumptions!$C$39</f>
        <v/>
      </c>
      <c r="AD14" s="134">
        <f>-AD7*Assumptions!$C$39</f>
        <v/>
      </c>
      <c r="AE14" s="134">
        <f>-AE7*Assumptions!$C$39</f>
        <v/>
      </c>
      <c r="AF14" s="134">
        <f>-AF7*Assumptions!$C$39</f>
        <v/>
      </c>
      <c r="AG14" s="134">
        <f>-AG7*Assumptions!$C$39</f>
        <v/>
      </c>
      <c r="AH14" s="134">
        <f>-AH7*Assumptions!$C$39</f>
        <v/>
      </c>
      <c r="AI14" s="134">
        <f>-AI7*Assumptions!$C$39</f>
        <v/>
      </c>
      <c r="AJ14" s="134">
        <f>-AJ7*Assumptions!$C$39</f>
        <v/>
      </c>
      <c r="AK14" s="134">
        <f>-AK7*Assumptions!$C$39</f>
        <v/>
      </c>
      <c r="AL14" s="134">
        <f>-AL7*Assumptions!$C$39</f>
        <v/>
      </c>
      <c r="AM14" s="134">
        <f>-AM7*Assumptions!$C$39</f>
        <v/>
      </c>
      <c r="AN14" s="134">
        <f>-AN7*Assumptions!$C$39</f>
        <v/>
      </c>
      <c r="AO14" s="134">
        <f>-AO7*Assumptions!$C$39</f>
        <v/>
      </c>
      <c r="AP14" s="134">
        <f>-AP7*Assumptions!$C$39</f>
        <v/>
      </c>
      <c r="AQ14" s="134">
        <f>-AQ7*Assumptions!$C$39</f>
        <v/>
      </c>
      <c r="AR14" s="134">
        <f>-AR7*Assumptions!$C$39</f>
        <v/>
      </c>
      <c r="AS14" s="134">
        <f>-AS7*Assumptions!$C$39</f>
        <v/>
      </c>
      <c r="AT14" s="134">
        <f>-AT7*Assumptions!$C$39</f>
        <v/>
      </c>
      <c r="AU14" s="134">
        <f>-AU7*Assumptions!$C$39</f>
        <v/>
      </c>
      <c r="AV14" s="134">
        <f>-AV7*Assumptions!$C$39</f>
        <v/>
      </c>
      <c r="AW14" s="134">
        <f>-AW7*Assumptions!$C$39</f>
        <v/>
      </c>
      <c r="AX14" s="134">
        <f>-AX7*Assumptions!$C$39</f>
        <v/>
      </c>
      <c r="AY14" s="134">
        <f>-AY7*Assumptions!$C$39</f>
        <v/>
      </c>
      <c r="AZ14" s="134">
        <f>-AZ7*Assumptions!$C$39</f>
        <v/>
      </c>
      <c r="BA14" s="134">
        <f>-BA7*Assumptions!$C$39</f>
        <v/>
      </c>
      <c r="BB14" s="134">
        <f>-BB7*Assumptions!$C$39</f>
        <v/>
      </c>
      <c r="BC14" s="134">
        <f>-BC7*Assumptions!$C$39</f>
        <v/>
      </c>
      <c r="BD14" s="134">
        <f>-BD7*Assumptions!$C$39</f>
        <v/>
      </c>
      <c r="BE14" s="134">
        <f>-BE7*Assumptions!$C$39</f>
        <v/>
      </c>
      <c r="BF14" s="134">
        <f>-BF7*Assumptions!$C$39</f>
        <v/>
      </c>
      <c r="BG14" s="134">
        <f>-BG7*Assumptions!$C$39</f>
        <v/>
      </c>
      <c r="BH14" s="134">
        <f>-BH7*Assumptions!$C$39</f>
        <v/>
      </c>
      <c r="BI14" s="134">
        <f>-BI7*Assumptions!$C$39</f>
        <v/>
      </c>
      <c r="BJ14" s="134">
        <f>-BJ7*Assumptions!$C$39</f>
        <v/>
      </c>
      <c r="BK14" s="134">
        <f>-BK7*Assumptions!$C$39</f>
        <v/>
      </c>
      <c r="BL14" s="134">
        <f>-BL7*Assumptions!$C$39</f>
        <v/>
      </c>
    </row>
    <row r="15">
      <c r="B15" s="117" t="inlineStr">
        <is>
          <t>TOTAL EXPENSES</t>
        </is>
      </c>
      <c r="C15" s="117" t="n"/>
      <c r="D15" s="135">
        <f>D13+D14</f>
        <v/>
      </c>
      <c r="E15" s="135">
        <f>E13+E14</f>
        <v/>
      </c>
      <c r="F15" s="135">
        <f>F13+F14</f>
        <v/>
      </c>
      <c r="G15" s="135">
        <f>G13+G14</f>
        <v/>
      </c>
      <c r="H15" s="135">
        <f>H13+H14</f>
        <v/>
      </c>
      <c r="I15" s="135">
        <f>I13+I14</f>
        <v/>
      </c>
      <c r="J15" s="135">
        <f>J13+J14</f>
        <v/>
      </c>
      <c r="K15" s="135">
        <f>K13+K14</f>
        <v/>
      </c>
      <c r="L15" s="135">
        <f>L13+L14</f>
        <v/>
      </c>
      <c r="M15" s="135">
        <f>M13+M14</f>
        <v/>
      </c>
      <c r="N15" s="135">
        <f>N13+N14</f>
        <v/>
      </c>
      <c r="O15" s="135">
        <f>O13+O14</f>
        <v/>
      </c>
      <c r="P15" s="135">
        <f>P13+P14</f>
        <v/>
      </c>
      <c r="Q15" s="135">
        <f>Q13+Q14</f>
        <v/>
      </c>
      <c r="R15" s="135">
        <f>R13+R14</f>
        <v/>
      </c>
      <c r="S15" s="135">
        <f>S13+S14</f>
        <v/>
      </c>
      <c r="T15" s="135">
        <f>T13+T14</f>
        <v/>
      </c>
      <c r="U15" s="135">
        <f>U13+U14</f>
        <v/>
      </c>
      <c r="V15" s="135">
        <f>V13+V14</f>
        <v/>
      </c>
      <c r="W15" s="135">
        <f>W13+W14</f>
        <v/>
      </c>
      <c r="X15" s="135">
        <f>X13+X14</f>
        <v/>
      </c>
      <c r="Y15" s="135">
        <f>Y13+Y14</f>
        <v/>
      </c>
      <c r="Z15" s="135">
        <f>Z13+Z14</f>
        <v/>
      </c>
      <c r="AA15" s="135">
        <f>AA13+AA14</f>
        <v/>
      </c>
      <c r="AB15" s="135">
        <f>AB13+AB14</f>
        <v/>
      </c>
      <c r="AC15" s="135">
        <f>AC13+AC14</f>
        <v/>
      </c>
      <c r="AD15" s="135">
        <f>AD13+AD14</f>
        <v/>
      </c>
      <c r="AE15" s="135">
        <f>AE13+AE14</f>
        <v/>
      </c>
      <c r="AF15" s="135">
        <f>AF13+AF14</f>
        <v/>
      </c>
      <c r="AG15" s="135">
        <f>AG13+AG14</f>
        <v/>
      </c>
      <c r="AH15" s="135">
        <f>AH13+AH14</f>
        <v/>
      </c>
      <c r="AI15" s="135">
        <f>AI13+AI14</f>
        <v/>
      </c>
      <c r="AJ15" s="135">
        <f>AJ13+AJ14</f>
        <v/>
      </c>
      <c r="AK15" s="135">
        <f>AK13+AK14</f>
        <v/>
      </c>
      <c r="AL15" s="135">
        <f>AL13+AL14</f>
        <v/>
      </c>
      <c r="AM15" s="135">
        <f>AM13+AM14</f>
        <v/>
      </c>
      <c r="AN15" s="135">
        <f>AN13+AN14</f>
        <v/>
      </c>
      <c r="AO15" s="135">
        <f>AO13+AO14</f>
        <v/>
      </c>
      <c r="AP15" s="135">
        <f>AP13+AP14</f>
        <v/>
      </c>
      <c r="AQ15" s="135">
        <f>AQ13+AQ14</f>
        <v/>
      </c>
      <c r="AR15" s="135">
        <f>AR13+AR14</f>
        <v/>
      </c>
      <c r="AS15" s="135">
        <f>AS13+AS14</f>
        <v/>
      </c>
      <c r="AT15" s="135">
        <f>AT13+AT14</f>
        <v/>
      </c>
      <c r="AU15" s="135">
        <f>AU13+AU14</f>
        <v/>
      </c>
      <c r="AV15" s="135">
        <f>AV13+AV14</f>
        <v/>
      </c>
      <c r="AW15" s="135">
        <f>AW13+AW14</f>
        <v/>
      </c>
      <c r="AX15" s="135">
        <f>AX13+AX14</f>
        <v/>
      </c>
      <c r="AY15" s="135">
        <f>AY13+AY14</f>
        <v/>
      </c>
      <c r="AZ15" s="135">
        <f>AZ13+AZ14</f>
        <v/>
      </c>
      <c r="BA15" s="135">
        <f>BA13+BA14</f>
        <v/>
      </c>
      <c r="BB15" s="135">
        <f>BB13+BB14</f>
        <v/>
      </c>
      <c r="BC15" s="135">
        <f>BC13+BC14</f>
        <v/>
      </c>
      <c r="BD15" s="135">
        <f>BD13+BD14</f>
        <v/>
      </c>
      <c r="BE15" s="135">
        <f>BE13+BE14</f>
        <v/>
      </c>
      <c r="BF15" s="135">
        <f>BF13+BF14</f>
        <v/>
      </c>
      <c r="BG15" s="135">
        <f>BG13+BG14</f>
        <v/>
      </c>
      <c r="BH15" s="135">
        <f>BH13+BH14</f>
        <v/>
      </c>
      <c r="BI15" s="135">
        <f>BI13+BI14</f>
        <v/>
      </c>
      <c r="BJ15" s="135">
        <f>BJ13+BJ14</f>
        <v/>
      </c>
      <c r="BK15" s="135">
        <f>BK13+BK14</f>
        <v/>
      </c>
      <c r="BL15" s="135">
        <f>BL13+BL14</f>
        <v/>
      </c>
    </row>
    <row r="16"/>
    <row r="17">
      <c r="B17" s="136" t="inlineStr">
        <is>
          <t>NET OPERATING INCOME</t>
        </is>
      </c>
      <c r="C17" s="136" t="n"/>
      <c r="D17" s="137">
        <f>D10+D15</f>
        <v/>
      </c>
      <c r="E17" s="137">
        <f>E10+E15</f>
        <v/>
      </c>
      <c r="F17" s="137">
        <f>F10+F15</f>
        <v/>
      </c>
      <c r="G17" s="137">
        <f>G10+G15</f>
        <v/>
      </c>
      <c r="H17" s="137">
        <f>H10+H15</f>
        <v/>
      </c>
      <c r="I17" s="137">
        <f>I10+I15</f>
        <v/>
      </c>
      <c r="J17" s="137">
        <f>J10+J15</f>
        <v/>
      </c>
      <c r="K17" s="137">
        <f>K10+K15</f>
        <v/>
      </c>
      <c r="L17" s="137">
        <f>L10+L15</f>
        <v/>
      </c>
      <c r="M17" s="137">
        <f>M10+M15</f>
        <v/>
      </c>
      <c r="N17" s="137">
        <f>N10+N15</f>
        <v/>
      </c>
      <c r="O17" s="137">
        <f>O10+O15</f>
        <v/>
      </c>
      <c r="P17" s="137">
        <f>P10+P15</f>
        <v/>
      </c>
      <c r="Q17" s="137">
        <f>Q10+Q15</f>
        <v/>
      </c>
      <c r="R17" s="137">
        <f>R10+R15</f>
        <v/>
      </c>
      <c r="S17" s="137">
        <f>S10+S15</f>
        <v/>
      </c>
      <c r="T17" s="137">
        <f>T10+T15</f>
        <v/>
      </c>
      <c r="U17" s="137">
        <f>U10+U15</f>
        <v/>
      </c>
      <c r="V17" s="137">
        <f>V10+V15</f>
        <v/>
      </c>
      <c r="W17" s="137">
        <f>W10+W15</f>
        <v/>
      </c>
      <c r="X17" s="137">
        <f>X10+X15</f>
        <v/>
      </c>
      <c r="Y17" s="137">
        <f>Y10+Y15</f>
        <v/>
      </c>
      <c r="Z17" s="137">
        <f>Z10+Z15</f>
        <v/>
      </c>
      <c r="AA17" s="137">
        <f>AA10+AA15</f>
        <v/>
      </c>
      <c r="AB17" s="137">
        <f>AB10+AB15</f>
        <v/>
      </c>
      <c r="AC17" s="137">
        <f>AC10+AC15</f>
        <v/>
      </c>
      <c r="AD17" s="137">
        <f>AD10+AD15</f>
        <v/>
      </c>
      <c r="AE17" s="137">
        <f>AE10+AE15</f>
        <v/>
      </c>
      <c r="AF17" s="137">
        <f>AF10+AF15</f>
        <v/>
      </c>
      <c r="AG17" s="137">
        <f>AG10+AG15</f>
        <v/>
      </c>
      <c r="AH17" s="137">
        <f>AH10+AH15</f>
        <v/>
      </c>
      <c r="AI17" s="137">
        <f>AI10+AI15</f>
        <v/>
      </c>
      <c r="AJ17" s="137">
        <f>AJ10+AJ15</f>
        <v/>
      </c>
      <c r="AK17" s="137">
        <f>AK10+AK15</f>
        <v/>
      </c>
      <c r="AL17" s="137">
        <f>AL10+AL15</f>
        <v/>
      </c>
      <c r="AM17" s="137">
        <f>AM10+AM15</f>
        <v/>
      </c>
      <c r="AN17" s="137">
        <f>AN10+AN15</f>
        <v/>
      </c>
      <c r="AO17" s="137">
        <f>AO10+AO15</f>
        <v/>
      </c>
      <c r="AP17" s="137">
        <f>AP10+AP15</f>
        <v/>
      </c>
      <c r="AQ17" s="137">
        <f>AQ10+AQ15</f>
        <v/>
      </c>
      <c r="AR17" s="137">
        <f>AR10+AR15</f>
        <v/>
      </c>
      <c r="AS17" s="137">
        <f>AS10+AS15</f>
        <v/>
      </c>
      <c r="AT17" s="137">
        <f>AT10+AT15</f>
        <v/>
      </c>
      <c r="AU17" s="137">
        <f>AU10+AU15</f>
        <v/>
      </c>
      <c r="AV17" s="137">
        <f>AV10+AV15</f>
        <v/>
      </c>
      <c r="AW17" s="137">
        <f>AW10+AW15</f>
        <v/>
      </c>
      <c r="AX17" s="137">
        <f>AX10+AX15</f>
        <v/>
      </c>
      <c r="AY17" s="137">
        <f>AY10+AY15</f>
        <v/>
      </c>
      <c r="AZ17" s="137">
        <f>AZ10+AZ15</f>
        <v/>
      </c>
      <c r="BA17" s="137">
        <f>BA10+BA15</f>
        <v/>
      </c>
      <c r="BB17" s="137">
        <f>BB10+BB15</f>
        <v/>
      </c>
      <c r="BC17" s="137">
        <f>BC10+BC15</f>
        <v/>
      </c>
      <c r="BD17" s="137">
        <f>BD10+BD15</f>
        <v/>
      </c>
      <c r="BE17" s="137">
        <f>BE10+BE15</f>
        <v/>
      </c>
      <c r="BF17" s="137">
        <f>BF10+BF15</f>
        <v/>
      </c>
      <c r="BG17" s="137">
        <f>BG10+BG15</f>
        <v/>
      </c>
      <c r="BH17" s="137">
        <f>BH10+BH15</f>
        <v/>
      </c>
      <c r="BI17" s="137">
        <f>BI10+BI15</f>
        <v/>
      </c>
      <c r="BJ17" s="137">
        <f>BJ10+BJ15</f>
        <v/>
      </c>
      <c r="BK17" s="137">
        <f>BK10+BK15</f>
        <v/>
      </c>
      <c r="BL17" s="137">
        <f>BL10+BL15</f>
        <v/>
      </c>
    </row>
    <row r="18"/>
    <row r="19">
      <c r="B19" s="59" t="inlineStr">
        <is>
          <t>CAPITAL COSTS</t>
        </is>
      </c>
      <c r="C19" s="59" t="n"/>
      <c r="D19" s="59" t="n"/>
      <c r="E19" s="59" t="n"/>
      <c r="F19" s="59" t="n"/>
      <c r="G19" s="59" t="n"/>
      <c r="H19" s="59" t="n"/>
      <c r="I19" s="59" t="n"/>
      <c r="J19" s="59" t="n"/>
      <c r="K19" s="59" t="n"/>
      <c r="L19" s="59" t="n"/>
      <c r="M19" s="59" t="n"/>
      <c r="N19" s="59" t="n"/>
      <c r="O19" s="59" t="n"/>
      <c r="P19" s="59" t="n"/>
      <c r="Q19" s="59" t="n"/>
      <c r="R19" s="59" t="n"/>
      <c r="S19" s="59" t="n"/>
      <c r="T19" s="59" t="n"/>
      <c r="U19" s="59" t="n"/>
      <c r="V19" s="59" t="n"/>
      <c r="W19" s="59" t="n"/>
      <c r="X19" s="59" t="n"/>
      <c r="Y19" s="59" t="n"/>
      <c r="Z19" s="59" t="n"/>
      <c r="AA19" s="59" t="n"/>
      <c r="AB19" s="59" t="n"/>
      <c r="AC19" s="59" t="n"/>
      <c r="AD19" s="59" t="n"/>
      <c r="AE19" s="59" t="n"/>
      <c r="AF19" s="59" t="n"/>
      <c r="AG19" s="59" t="n"/>
      <c r="AH19" s="59" t="n"/>
      <c r="AI19" s="59" t="n"/>
      <c r="AJ19" s="59" t="n"/>
      <c r="AK19" s="59" t="n"/>
      <c r="AL19" s="59" t="n"/>
      <c r="AM19" s="59" t="n"/>
      <c r="AN19" s="59" t="n"/>
      <c r="AO19" s="59" t="n"/>
      <c r="AP19" s="59" t="n"/>
      <c r="AQ19" s="59" t="n"/>
      <c r="AR19" s="59" t="n"/>
      <c r="AS19" s="59" t="n"/>
      <c r="AT19" s="59" t="n"/>
      <c r="AU19" s="59" t="n"/>
      <c r="AV19" s="59" t="n"/>
      <c r="AW19" s="59" t="n"/>
      <c r="AX19" s="59" t="n"/>
      <c r="AY19" s="59" t="n"/>
      <c r="AZ19" s="59" t="n"/>
      <c r="BA19" s="59" t="n"/>
      <c r="BB19" s="59" t="n"/>
      <c r="BC19" s="59" t="n"/>
      <c r="BD19" s="59" t="n"/>
      <c r="BE19" s="59" t="n"/>
      <c r="BF19" s="59" t="n"/>
      <c r="BG19" s="59" t="n"/>
      <c r="BH19" s="59" t="n"/>
      <c r="BI19" s="59" t="n"/>
      <c r="BJ19" s="59" t="n"/>
      <c r="BK19" s="59" t="n"/>
      <c r="BL19" s="59" t="n"/>
    </row>
    <row r="20">
      <c r="B20" s="83" t="inlineStr">
        <is>
          <t>Renovation</t>
        </is>
      </c>
      <c r="D20" s="134">
        <f>IF(D$2&lt;=Assumptions!$C$20,-Assumptions!$C$19/Assumptions!$C$20,0)</f>
        <v/>
      </c>
      <c r="E20" s="134">
        <f>IF(E$2&lt;=Assumptions!$C$20,-Assumptions!$C$19/Assumptions!$C$20,0)</f>
        <v/>
      </c>
      <c r="F20" s="134">
        <f>IF(F$2&lt;=Assumptions!$C$20,-Assumptions!$C$19/Assumptions!$C$20,0)</f>
        <v/>
      </c>
      <c r="G20" s="134">
        <f>IF(G$2&lt;=Assumptions!$C$20,-Assumptions!$C$19/Assumptions!$C$20,0)</f>
        <v/>
      </c>
      <c r="H20" s="134">
        <f>IF(H$2&lt;=Assumptions!$C$20,-Assumptions!$C$19/Assumptions!$C$20,0)</f>
        <v/>
      </c>
      <c r="I20" s="134">
        <f>IF(I$2&lt;=Assumptions!$C$20,-Assumptions!$C$19/Assumptions!$C$20,0)</f>
        <v/>
      </c>
      <c r="J20" s="134">
        <f>IF(J$2&lt;=Assumptions!$C$20,-Assumptions!$C$19/Assumptions!$C$20,0)</f>
        <v/>
      </c>
      <c r="K20" s="134">
        <f>IF(K$2&lt;=Assumptions!$C$20,-Assumptions!$C$19/Assumptions!$C$20,0)</f>
        <v/>
      </c>
      <c r="L20" s="134">
        <f>IF(L$2&lt;=Assumptions!$C$20,-Assumptions!$C$19/Assumptions!$C$20,0)</f>
        <v/>
      </c>
      <c r="M20" s="134">
        <f>IF(M$2&lt;=Assumptions!$C$20,-Assumptions!$C$19/Assumptions!$C$20,0)</f>
        <v/>
      </c>
      <c r="N20" s="134">
        <f>IF(N$2&lt;=Assumptions!$C$20,-Assumptions!$C$19/Assumptions!$C$20,0)</f>
        <v/>
      </c>
      <c r="O20" s="134">
        <f>IF(O$2&lt;=Assumptions!$C$20,-Assumptions!$C$19/Assumptions!$C$20,0)</f>
        <v/>
      </c>
      <c r="P20" s="134">
        <f>IF(P$2&lt;=Assumptions!$C$20,-Assumptions!$C$19/Assumptions!$C$20,0)</f>
        <v/>
      </c>
      <c r="Q20" s="134">
        <f>IF(Q$2&lt;=Assumptions!$C$20,-Assumptions!$C$19/Assumptions!$C$20,0)</f>
        <v/>
      </c>
      <c r="R20" s="134">
        <f>IF(R$2&lt;=Assumptions!$C$20,-Assumptions!$C$19/Assumptions!$C$20,0)</f>
        <v/>
      </c>
      <c r="S20" s="134">
        <f>IF(S$2&lt;=Assumptions!$C$20,-Assumptions!$C$19/Assumptions!$C$20,0)</f>
        <v/>
      </c>
      <c r="T20" s="134">
        <f>IF(T$2&lt;=Assumptions!$C$20,-Assumptions!$C$19/Assumptions!$C$20,0)</f>
        <v/>
      </c>
      <c r="U20" s="134">
        <f>IF(U$2&lt;=Assumptions!$C$20,-Assumptions!$C$19/Assumptions!$C$20,0)</f>
        <v/>
      </c>
      <c r="V20" s="134">
        <f>IF(V$2&lt;=Assumptions!$C$20,-Assumptions!$C$19/Assumptions!$C$20,0)</f>
        <v/>
      </c>
      <c r="W20" s="134">
        <f>IF(W$2&lt;=Assumptions!$C$20,-Assumptions!$C$19/Assumptions!$C$20,0)</f>
        <v/>
      </c>
      <c r="X20" s="134">
        <f>IF(X$2&lt;=Assumptions!$C$20,-Assumptions!$C$19/Assumptions!$C$20,0)</f>
        <v/>
      </c>
      <c r="Y20" s="134">
        <f>IF(Y$2&lt;=Assumptions!$C$20,-Assumptions!$C$19/Assumptions!$C$20,0)</f>
        <v/>
      </c>
      <c r="Z20" s="134">
        <f>IF(Z$2&lt;=Assumptions!$C$20,-Assumptions!$C$19/Assumptions!$C$20,0)</f>
        <v/>
      </c>
      <c r="AA20" s="134">
        <f>IF(AA$2&lt;=Assumptions!$C$20,-Assumptions!$C$19/Assumptions!$C$20,0)</f>
        <v/>
      </c>
      <c r="AB20" s="134">
        <f>IF(AB$2&lt;=Assumptions!$C$20,-Assumptions!$C$19/Assumptions!$C$20,0)</f>
        <v/>
      </c>
      <c r="AC20" s="134">
        <f>IF(AC$2&lt;=Assumptions!$C$20,-Assumptions!$C$19/Assumptions!$C$20,0)</f>
        <v/>
      </c>
      <c r="AD20" s="134">
        <f>IF(AD$2&lt;=Assumptions!$C$20,-Assumptions!$C$19/Assumptions!$C$20,0)</f>
        <v/>
      </c>
      <c r="AE20" s="134">
        <f>IF(AE$2&lt;=Assumptions!$C$20,-Assumptions!$C$19/Assumptions!$C$20,0)</f>
        <v/>
      </c>
      <c r="AF20" s="134">
        <f>IF(AF$2&lt;=Assumptions!$C$20,-Assumptions!$C$19/Assumptions!$C$20,0)</f>
        <v/>
      </c>
      <c r="AG20" s="134">
        <f>IF(AG$2&lt;=Assumptions!$C$20,-Assumptions!$C$19/Assumptions!$C$20,0)</f>
        <v/>
      </c>
      <c r="AH20" s="134">
        <f>IF(AH$2&lt;=Assumptions!$C$20,-Assumptions!$C$19/Assumptions!$C$20,0)</f>
        <v/>
      </c>
      <c r="AI20" s="134">
        <f>IF(AI$2&lt;=Assumptions!$C$20,-Assumptions!$C$19/Assumptions!$C$20,0)</f>
        <v/>
      </c>
      <c r="AJ20" s="134">
        <f>IF(AJ$2&lt;=Assumptions!$C$20,-Assumptions!$C$19/Assumptions!$C$20,0)</f>
        <v/>
      </c>
      <c r="AK20" s="134">
        <f>IF(AK$2&lt;=Assumptions!$C$20,-Assumptions!$C$19/Assumptions!$C$20,0)</f>
        <v/>
      </c>
      <c r="AL20" s="134">
        <f>IF(AL$2&lt;=Assumptions!$C$20,-Assumptions!$C$19/Assumptions!$C$20,0)</f>
        <v/>
      </c>
      <c r="AM20" s="134">
        <f>IF(AM$2&lt;=Assumptions!$C$20,-Assumptions!$C$19/Assumptions!$C$20,0)</f>
        <v/>
      </c>
      <c r="AN20" s="134">
        <f>IF(AN$2&lt;=Assumptions!$C$20,-Assumptions!$C$19/Assumptions!$C$20,0)</f>
        <v/>
      </c>
      <c r="AO20" s="134">
        <f>IF(AO$2&lt;=Assumptions!$C$20,-Assumptions!$C$19/Assumptions!$C$20,0)</f>
        <v/>
      </c>
      <c r="AP20" s="134">
        <f>IF(AP$2&lt;=Assumptions!$C$20,-Assumptions!$C$19/Assumptions!$C$20,0)</f>
        <v/>
      </c>
      <c r="AQ20" s="134">
        <f>IF(AQ$2&lt;=Assumptions!$C$20,-Assumptions!$C$19/Assumptions!$C$20,0)</f>
        <v/>
      </c>
      <c r="AR20" s="134">
        <f>IF(AR$2&lt;=Assumptions!$C$20,-Assumptions!$C$19/Assumptions!$C$20,0)</f>
        <v/>
      </c>
      <c r="AS20" s="134">
        <f>IF(AS$2&lt;=Assumptions!$C$20,-Assumptions!$C$19/Assumptions!$C$20,0)</f>
        <v/>
      </c>
      <c r="AT20" s="134">
        <f>IF(AT$2&lt;=Assumptions!$C$20,-Assumptions!$C$19/Assumptions!$C$20,0)</f>
        <v/>
      </c>
      <c r="AU20" s="134">
        <f>IF(AU$2&lt;=Assumptions!$C$20,-Assumptions!$C$19/Assumptions!$C$20,0)</f>
        <v/>
      </c>
      <c r="AV20" s="134">
        <f>IF(AV$2&lt;=Assumptions!$C$20,-Assumptions!$C$19/Assumptions!$C$20,0)</f>
        <v/>
      </c>
      <c r="AW20" s="134">
        <f>IF(AW$2&lt;=Assumptions!$C$20,-Assumptions!$C$19/Assumptions!$C$20,0)</f>
        <v/>
      </c>
      <c r="AX20" s="134">
        <f>IF(AX$2&lt;=Assumptions!$C$20,-Assumptions!$C$19/Assumptions!$C$20,0)</f>
        <v/>
      </c>
      <c r="AY20" s="134">
        <f>IF(AY$2&lt;=Assumptions!$C$20,-Assumptions!$C$19/Assumptions!$C$20,0)</f>
        <v/>
      </c>
      <c r="AZ20" s="134">
        <f>IF(AZ$2&lt;=Assumptions!$C$20,-Assumptions!$C$19/Assumptions!$C$20,0)</f>
        <v/>
      </c>
      <c r="BA20" s="134">
        <f>IF(BA$2&lt;=Assumptions!$C$20,-Assumptions!$C$19/Assumptions!$C$20,0)</f>
        <v/>
      </c>
      <c r="BB20" s="134">
        <f>IF(BB$2&lt;=Assumptions!$C$20,-Assumptions!$C$19/Assumptions!$C$20,0)</f>
        <v/>
      </c>
      <c r="BC20" s="134">
        <f>IF(BC$2&lt;=Assumptions!$C$20,-Assumptions!$C$19/Assumptions!$C$20,0)</f>
        <v/>
      </c>
      <c r="BD20" s="134">
        <f>IF(BD$2&lt;=Assumptions!$C$20,-Assumptions!$C$19/Assumptions!$C$20,0)</f>
        <v/>
      </c>
      <c r="BE20" s="134">
        <f>IF(BE$2&lt;=Assumptions!$C$20,-Assumptions!$C$19/Assumptions!$C$20,0)</f>
        <v/>
      </c>
      <c r="BF20" s="134">
        <f>IF(BF$2&lt;=Assumptions!$C$20,-Assumptions!$C$19/Assumptions!$C$20,0)</f>
        <v/>
      </c>
      <c r="BG20" s="134">
        <f>IF(BG$2&lt;=Assumptions!$C$20,-Assumptions!$C$19/Assumptions!$C$20,0)</f>
        <v/>
      </c>
      <c r="BH20" s="134">
        <f>IF(BH$2&lt;=Assumptions!$C$20,-Assumptions!$C$19/Assumptions!$C$20,0)</f>
        <v/>
      </c>
      <c r="BI20" s="134">
        <f>IF(BI$2&lt;=Assumptions!$C$20,-Assumptions!$C$19/Assumptions!$C$20,0)</f>
        <v/>
      </c>
      <c r="BJ20" s="134">
        <f>IF(BJ$2&lt;=Assumptions!$C$20,-Assumptions!$C$19/Assumptions!$C$20,0)</f>
        <v/>
      </c>
      <c r="BK20" s="134">
        <f>IF(BK$2&lt;=Assumptions!$C$20,-Assumptions!$C$19/Assumptions!$C$20,0)</f>
        <v/>
      </c>
    </row>
    <row r="21">
      <c r="B21" s="83" t="inlineStr">
        <is>
          <t>Tenant improvements</t>
        </is>
      </c>
      <c r="D21" s="134">
        <f>IF(D$2=Assumptions!$C$30,-Assumptions!$C$28*Assumptions!$C$5,0)</f>
        <v/>
      </c>
      <c r="E21" s="134">
        <f>IF(E$2=Assumptions!$C$30,-Assumptions!$C$28*Assumptions!$C$5,0)</f>
        <v/>
      </c>
      <c r="F21" s="134">
        <f>IF(F$2=Assumptions!$C$30,-Assumptions!$C$28*Assumptions!$C$5,0)</f>
        <v/>
      </c>
      <c r="G21" s="134">
        <f>IF(G$2=Assumptions!$C$30,-Assumptions!$C$28*Assumptions!$C$5,0)</f>
        <v/>
      </c>
      <c r="H21" s="134">
        <f>IF(H$2=Assumptions!$C$30,-Assumptions!$C$28*Assumptions!$C$5,0)</f>
        <v/>
      </c>
      <c r="I21" s="134">
        <f>IF(I$2=Assumptions!$C$30,-Assumptions!$C$28*Assumptions!$C$5,0)</f>
        <v/>
      </c>
      <c r="J21" s="134">
        <f>IF(J$2=Assumptions!$C$30,-Assumptions!$C$28*Assumptions!$C$5,0)</f>
        <v/>
      </c>
      <c r="K21" s="134">
        <f>IF(K$2=Assumptions!$C$30,-Assumptions!$C$28*Assumptions!$C$5,0)</f>
        <v/>
      </c>
      <c r="L21" s="134">
        <f>IF(L$2=Assumptions!$C$30,-Assumptions!$C$28*Assumptions!$C$5,0)</f>
        <v/>
      </c>
      <c r="M21" s="134">
        <f>IF(M$2=Assumptions!$C$30,-Assumptions!$C$28*Assumptions!$C$5,0)</f>
        <v/>
      </c>
      <c r="N21" s="134">
        <f>IF(N$2=Assumptions!$C$30,-Assumptions!$C$28*Assumptions!$C$5,0)</f>
        <v/>
      </c>
      <c r="O21" s="134">
        <f>IF(O$2=Assumptions!$C$30,-Assumptions!$C$28*Assumptions!$C$5,0)</f>
        <v/>
      </c>
      <c r="P21" s="134">
        <f>IF(P$2=Assumptions!$C$30,-Assumptions!$C$28*Assumptions!$C$5,0)</f>
        <v/>
      </c>
      <c r="Q21" s="134">
        <f>IF(Q$2=Assumptions!$C$30,-Assumptions!$C$28*Assumptions!$C$5,0)</f>
        <v/>
      </c>
      <c r="R21" s="134">
        <f>IF(R$2=Assumptions!$C$30,-Assumptions!$C$28*Assumptions!$C$5,0)</f>
        <v/>
      </c>
      <c r="S21" s="134">
        <f>IF(S$2=Assumptions!$C$30,-Assumptions!$C$28*Assumptions!$C$5,0)</f>
        <v/>
      </c>
      <c r="T21" s="134">
        <f>IF(T$2=Assumptions!$C$30,-Assumptions!$C$28*Assumptions!$C$5,0)</f>
        <v/>
      </c>
      <c r="U21" s="134">
        <f>IF(U$2=Assumptions!$C$30,-Assumptions!$C$28*Assumptions!$C$5,0)</f>
        <v/>
      </c>
      <c r="V21" s="134">
        <f>IF(V$2=Assumptions!$C$30,-Assumptions!$C$28*Assumptions!$C$5,0)</f>
        <v/>
      </c>
      <c r="W21" s="134">
        <f>IF(W$2=Assumptions!$C$30,-Assumptions!$C$28*Assumptions!$C$5,0)</f>
        <v/>
      </c>
      <c r="X21" s="134">
        <f>IF(X$2=Assumptions!$C$30,-Assumptions!$C$28*Assumptions!$C$5,0)</f>
        <v/>
      </c>
      <c r="Y21" s="134">
        <f>IF(Y$2=Assumptions!$C$30,-Assumptions!$C$28*Assumptions!$C$5,0)</f>
        <v/>
      </c>
      <c r="Z21" s="134">
        <f>IF(Z$2=Assumptions!$C$30,-Assumptions!$C$28*Assumptions!$C$5,0)</f>
        <v/>
      </c>
      <c r="AA21" s="134">
        <f>IF(AA$2=Assumptions!$C$30,-Assumptions!$C$28*Assumptions!$C$5,0)</f>
        <v/>
      </c>
      <c r="AB21" s="134">
        <f>IF(AB$2=Assumptions!$C$30,-Assumptions!$C$28*Assumptions!$C$5,0)</f>
        <v/>
      </c>
      <c r="AC21" s="134">
        <f>IF(AC$2=Assumptions!$C$30,-Assumptions!$C$28*Assumptions!$C$5,0)</f>
        <v/>
      </c>
      <c r="AD21" s="134">
        <f>IF(AD$2=Assumptions!$C$30,-Assumptions!$C$28*Assumptions!$C$5,0)</f>
        <v/>
      </c>
      <c r="AE21" s="134">
        <f>IF(AE$2=Assumptions!$C$30,-Assumptions!$C$28*Assumptions!$C$5,0)</f>
        <v/>
      </c>
      <c r="AF21" s="134">
        <f>IF(AF$2=Assumptions!$C$30,-Assumptions!$C$28*Assumptions!$C$5,0)</f>
        <v/>
      </c>
      <c r="AG21" s="134">
        <f>IF(AG$2=Assumptions!$C$30,-Assumptions!$C$28*Assumptions!$C$5,0)</f>
        <v/>
      </c>
      <c r="AH21" s="134">
        <f>IF(AH$2=Assumptions!$C$30,-Assumptions!$C$28*Assumptions!$C$5,0)</f>
        <v/>
      </c>
      <c r="AI21" s="134">
        <f>IF(AI$2=Assumptions!$C$30,-Assumptions!$C$28*Assumptions!$C$5,0)</f>
        <v/>
      </c>
      <c r="AJ21" s="134">
        <f>IF(AJ$2=Assumptions!$C$30,-Assumptions!$C$28*Assumptions!$C$5,0)</f>
        <v/>
      </c>
      <c r="AK21" s="134">
        <f>IF(AK$2=Assumptions!$C$30,-Assumptions!$C$28*Assumptions!$C$5,0)</f>
        <v/>
      </c>
      <c r="AL21" s="134">
        <f>IF(AL$2=Assumptions!$C$30,-Assumptions!$C$28*Assumptions!$C$5,0)</f>
        <v/>
      </c>
      <c r="AM21" s="134">
        <f>IF(AM$2=Assumptions!$C$30,-Assumptions!$C$28*Assumptions!$C$5,0)</f>
        <v/>
      </c>
      <c r="AN21" s="134">
        <f>IF(AN$2=Assumptions!$C$30,-Assumptions!$C$28*Assumptions!$C$5,0)</f>
        <v/>
      </c>
      <c r="AO21" s="134">
        <f>IF(AO$2=Assumptions!$C$30,-Assumptions!$C$28*Assumptions!$C$5,0)</f>
        <v/>
      </c>
      <c r="AP21" s="134">
        <f>IF(AP$2=Assumptions!$C$30,-Assumptions!$C$28*Assumptions!$C$5,0)</f>
        <v/>
      </c>
      <c r="AQ21" s="134">
        <f>IF(AQ$2=Assumptions!$C$30,-Assumptions!$C$28*Assumptions!$C$5,0)</f>
        <v/>
      </c>
      <c r="AR21" s="134">
        <f>IF(AR$2=Assumptions!$C$30,-Assumptions!$C$28*Assumptions!$C$5,0)</f>
        <v/>
      </c>
      <c r="AS21" s="134">
        <f>IF(AS$2=Assumptions!$C$30,-Assumptions!$C$28*Assumptions!$C$5,0)</f>
        <v/>
      </c>
      <c r="AT21" s="134">
        <f>IF(AT$2=Assumptions!$C$30,-Assumptions!$C$28*Assumptions!$C$5,0)</f>
        <v/>
      </c>
      <c r="AU21" s="134">
        <f>IF(AU$2=Assumptions!$C$30,-Assumptions!$C$28*Assumptions!$C$5,0)</f>
        <v/>
      </c>
      <c r="AV21" s="134">
        <f>IF(AV$2=Assumptions!$C$30,-Assumptions!$C$28*Assumptions!$C$5,0)</f>
        <v/>
      </c>
      <c r="AW21" s="134">
        <f>IF(AW$2=Assumptions!$C$30,-Assumptions!$C$28*Assumptions!$C$5,0)</f>
        <v/>
      </c>
      <c r="AX21" s="134">
        <f>IF(AX$2=Assumptions!$C$30,-Assumptions!$C$28*Assumptions!$C$5,0)</f>
        <v/>
      </c>
      <c r="AY21" s="134">
        <f>IF(AY$2=Assumptions!$C$30,-Assumptions!$C$28*Assumptions!$C$5,0)</f>
        <v/>
      </c>
      <c r="AZ21" s="134">
        <f>IF(AZ$2=Assumptions!$C$30,-Assumptions!$C$28*Assumptions!$C$5,0)</f>
        <v/>
      </c>
      <c r="BA21" s="134">
        <f>IF(BA$2=Assumptions!$C$30,-Assumptions!$C$28*Assumptions!$C$5,0)</f>
        <v/>
      </c>
      <c r="BB21" s="134">
        <f>IF(BB$2=Assumptions!$C$30,-Assumptions!$C$28*Assumptions!$C$5,0)</f>
        <v/>
      </c>
      <c r="BC21" s="134">
        <f>IF(BC$2=Assumptions!$C$30,-Assumptions!$C$28*Assumptions!$C$5,0)</f>
        <v/>
      </c>
      <c r="BD21" s="134">
        <f>IF(BD$2=Assumptions!$C$30,-Assumptions!$C$28*Assumptions!$C$5,0)</f>
        <v/>
      </c>
      <c r="BE21" s="134">
        <f>IF(BE$2=Assumptions!$C$30,-Assumptions!$C$28*Assumptions!$C$5,0)</f>
        <v/>
      </c>
      <c r="BF21" s="134">
        <f>IF(BF$2=Assumptions!$C$30,-Assumptions!$C$28*Assumptions!$C$5,0)</f>
        <v/>
      </c>
      <c r="BG21" s="134">
        <f>IF(BG$2=Assumptions!$C$30,-Assumptions!$C$28*Assumptions!$C$5,0)</f>
        <v/>
      </c>
      <c r="BH21" s="134">
        <f>IF(BH$2=Assumptions!$C$30,-Assumptions!$C$28*Assumptions!$C$5,0)</f>
        <v/>
      </c>
      <c r="BI21" s="134">
        <f>IF(BI$2=Assumptions!$C$30,-Assumptions!$C$28*Assumptions!$C$5,0)</f>
        <v/>
      </c>
      <c r="BJ21" s="134">
        <f>IF(BJ$2=Assumptions!$C$30,-Assumptions!$C$28*Assumptions!$C$5,0)</f>
        <v/>
      </c>
      <c r="BK21" s="134">
        <f>IF(BK$2=Assumptions!$C$30,-Assumptions!$C$28*Assumptions!$C$5,0)</f>
        <v/>
      </c>
    </row>
    <row r="22">
      <c r="B22" s="83" t="inlineStr">
        <is>
          <t>Leasing commissions</t>
        </is>
      </c>
      <c r="D22" s="134">
        <f>IF(D$2=Assumptions!$C$30,-'Sources and Uses'!$C$8,0)</f>
        <v/>
      </c>
      <c r="E22" s="134">
        <f>IF(E$2=Assumptions!$C$30,-'Sources and Uses'!$C$8,0)</f>
        <v/>
      </c>
      <c r="F22" s="134">
        <f>IF(F$2=Assumptions!$C$30,-'Sources and Uses'!$C$8,0)</f>
        <v/>
      </c>
      <c r="G22" s="134">
        <f>IF(G$2=Assumptions!$C$30,-'Sources and Uses'!$C$8,0)</f>
        <v/>
      </c>
      <c r="H22" s="134">
        <f>IF(H$2=Assumptions!$C$30,-'Sources and Uses'!$C$8,0)</f>
        <v/>
      </c>
      <c r="I22" s="134">
        <f>IF(I$2=Assumptions!$C$30,-'Sources and Uses'!$C$8,0)</f>
        <v/>
      </c>
      <c r="J22" s="134">
        <f>IF(J$2=Assumptions!$C$30,-'Sources and Uses'!$C$8,0)</f>
        <v/>
      </c>
      <c r="K22" s="134">
        <f>IF(K$2=Assumptions!$C$30,-'Sources and Uses'!$C$8,0)</f>
        <v/>
      </c>
      <c r="L22" s="134">
        <f>IF(L$2=Assumptions!$C$30,-'Sources and Uses'!$C$8,0)</f>
        <v/>
      </c>
      <c r="M22" s="134">
        <f>IF(M$2=Assumptions!$C$30,-'Sources and Uses'!$C$8,0)</f>
        <v/>
      </c>
      <c r="N22" s="134">
        <f>IF(N$2=Assumptions!$C$30,-'Sources and Uses'!$C$8,0)</f>
        <v/>
      </c>
      <c r="O22" s="134">
        <f>IF(O$2=Assumptions!$C$30,-'Sources and Uses'!$C$8,0)</f>
        <v/>
      </c>
      <c r="P22" s="134">
        <f>IF(P$2=Assumptions!$C$30,-'Sources and Uses'!$C$8,0)</f>
        <v/>
      </c>
      <c r="Q22" s="134">
        <f>IF(Q$2=Assumptions!$C$30,-'Sources and Uses'!$C$8,0)</f>
        <v/>
      </c>
      <c r="R22" s="134">
        <f>IF(R$2=Assumptions!$C$30,-'Sources and Uses'!$C$8,0)</f>
        <v/>
      </c>
      <c r="S22" s="134">
        <f>IF(S$2=Assumptions!$C$30,-'Sources and Uses'!$C$8,0)</f>
        <v/>
      </c>
      <c r="T22" s="134">
        <f>IF(T$2=Assumptions!$C$30,-'Sources and Uses'!$C$8,0)</f>
        <v/>
      </c>
      <c r="U22" s="134">
        <f>IF(U$2=Assumptions!$C$30,-'Sources and Uses'!$C$8,0)</f>
        <v/>
      </c>
      <c r="V22" s="134">
        <f>IF(V$2=Assumptions!$C$30,-'Sources and Uses'!$C$8,0)</f>
        <v/>
      </c>
      <c r="W22" s="134">
        <f>IF(W$2=Assumptions!$C$30,-'Sources and Uses'!$C$8,0)</f>
        <v/>
      </c>
      <c r="X22" s="134">
        <f>IF(X$2=Assumptions!$C$30,-'Sources and Uses'!$C$8,0)</f>
        <v/>
      </c>
      <c r="Y22" s="134">
        <f>IF(Y$2=Assumptions!$C$30,-'Sources and Uses'!$C$8,0)</f>
        <v/>
      </c>
      <c r="Z22" s="134">
        <f>IF(Z$2=Assumptions!$C$30,-'Sources and Uses'!$C$8,0)</f>
        <v/>
      </c>
      <c r="AA22" s="134">
        <f>IF(AA$2=Assumptions!$C$30,-'Sources and Uses'!$C$8,0)</f>
        <v/>
      </c>
      <c r="AB22" s="134">
        <f>IF(AB$2=Assumptions!$C$30,-'Sources and Uses'!$C$8,0)</f>
        <v/>
      </c>
      <c r="AC22" s="134">
        <f>IF(AC$2=Assumptions!$C$30,-'Sources and Uses'!$C$8,0)</f>
        <v/>
      </c>
      <c r="AD22" s="134">
        <f>IF(AD$2=Assumptions!$C$30,-'Sources and Uses'!$C$8,0)</f>
        <v/>
      </c>
      <c r="AE22" s="134">
        <f>IF(AE$2=Assumptions!$C$30,-'Sources and Uses'!$C$8,0)</f>
        <v/>
      </c>
      <c r="AF22" s="134">
        <f>IF(AF$2=Assumptions!$C$30,-'Sources and Uses'!$C$8,0)</f>
        <v/>
      </c>
      <c r="AG22" s="134">
        <f>IF(AG$2=Assumptions!$C$30,-'Sources and Uses'!$C$8,0)</f>
        <v/>
      </c>
      <c r="AH22" s="134">
        <f>IF(AH$2=Assumptions!$C$30,-'Sources and Uses'!$C$8,0)</f>
        <v/>
      </c>
      <c r="AI22" s="134">
        <f>IF(AI$2=Assumptions!$C$30,-'Sources and Uses'!$C$8,0)</f>
        <v/>
      </c>
      <c r="AJ22" s="134">
        <f>IF(AJ$2=Assumptions!$C$30,-'Sources and Uses'!$C$8,0)</f>
        <v/>
      </c>
      <c r="AK22" s="134">
        <f>IF(AK$2=Assumptions!$C$30,-'Sources and Uses'!$C$8,0)</f>
        <v/>
      </c>
      <c r="AL22" s="134">
        <f>IF(AL$2=Assumptions!$C$30,-'Sources and Uses'!$C$8,0)</f>
        <v/>
      </c>
      <c r="AM22" s="134">
        <f>IF(AM$2=Assumptions!$C$30,-'Sources and Uses'!$C$8,0)</f>
        <v/>
      </c>
      <c r="AN22" s="134">
        <f>IF(AN$2=Assumptions!$C$30,-'Sources and Uses'!$C$8,0)</f>
        <v/>
      </c>
      <c r="AO22" s="134">
        <f>IF(AO$2=Assumptions!$C$30,-'Sources and Uses'!$C$8,0)</f>
        <v/>
      </c>
      <c r="AP22" s="134">
        <f>IF(AP$2=Assumptions!$C$30,-'Sources and Uses'!$C$8,0)</f>
        <v/>
      </c>
      <c r="AQ22" s="134">
        <f>IF(AQ$2=Assumptions!$C$30,-'Sources and Uses'!$C$8,0)</f>
        <v/>
      </c>
      <c r="AR22" s="134">
        <f>IF(AR$2=Assumptions!$C$30,-'Sources and Uses'!$C$8,0)</f>
        <v/>
      </c>
      <c r="AS22" s="134">
        <f>IF(AS$2=Assumptions!$C$30,-'Sources and Uses'!$C$8,0)</f>
        <v/>
      </c>
      <c r="AT22" s="134">
        <f>IF(AT$2=Assumptions!$C$30,-'Sources and Uses'!$C$8,0)</f>
        <v/>
      </c>
      <c r="AU22" s="134">
        <f>IF(AU$2=Assumptions!$C$30,-'Sources and Uses'!$C$8,0)</f>
        <v/>
      </c>
      <c r="AV22" s="134">
        <f>IF(AV$2=Assumptions!$C$30,-'Sources and Uses'!$C$8,0)</f>
        <v/>
      </c>
      <c r="AW22" s="134">
        <f>IF(AW$2=Assumptions!$C$30,-'Sources and Uses'!$C$8,0)</f>
        <v/>
      </c>
      <c r="AX22" s="134">
        <f>IF(AX$2=Assumptions!$C$30,-'Sources and Uses'!$C$8,0)</f>
        <v/>
      </c>
      <c r="AY22" s="134">
        <f>IF(AY$2=Assumptions!$C$30,-'Sources and Uses'!$C$8,0)</f>
        <v/>
      </c>
      <c r="AZ22" s="134">
        <f>IF(AZ$2=Assumptions!$C$30,-'Sources and Uses'!$C$8,0)</f>
        <v/>
      </c>
      <c r="BA22" s="134">
        <f>IF(BA$2=Assumptions!$C$30,-'Sources and Uses'!$C$8,0)</f>
        <v/>
      </c>
      <c r="BB22" s="134">
        <f>IF(BB$2=Assumptions!$C$30,-'Sources and Uses'!$C$8,0)</f>
        <v/>
      </c>
      <c r="BC22" s="134">
        <f>IF(BC$2=Assumptions!$C$30,-'Sources and Uses'!$C$8,0)</f>
        <v/>
      </c>
      <c r="BD22" s="134">
        <f>IF(BD$2=Assumptions!$C$30,-'Sources and Uses'!$C$8,0)</f>
        <v/>
      </c>
      <c r="BE22" s="134">
        <f>IF(BE$2=Assumptions!$C$30,-'Sources and Uses'!$C$8,0)</f>
        <v/>
      </c>
      <c r="BF22" s="134">
        <f>IF(BF$2=Assumptions!$C$30,-'Sources and Uses'!$C$8,0)</f>
        <v/>
      </c>
      <c r="BG22" s="134">
        <f>IF(BG$2=Assumptions!$C$30,-'Sources and Uses'!$C$8,0)</f>
        <v/>
      </c>
      <c r="BH22" s="134">
        <f>IF(BH$2=Assumptions!$C$30,-'Sources and Uses'!$C$8,0)</f>
        <v/>
      </c>
      <c r="BI22" s="134">
        <f>IF(BI$2=Assumptions!$C$30,-'Sources and Uses'!$C$8,0)</f>
        <v/>
      </c>
      <c r="BJ22" s="134">
        <f>IF(BJ$2=Assumptions!$C$30,-'Sources and Uses'!$C$8,0)</f>
        <v/>
      </c>
      <c r="BK22" s="134">
        <f>IF(BK$2=Assumptions!$C$30,-'Sources and Uses'!$C$8,0)</f>
        <v/>
      </c>
    </row>
    <row r="23">
      <c r="B23" s="83" t="inlineStr">
        <is>
          <t>Reserves</t>
        </is>
      </c>
      <c r="D23" s="134">
        <f>-Assumptions!$C$40*Assumptions!$C$5/12</f>
        <v/>
      </c>
      <c r="E23" s="134">
        <f>-Assumptions!$C$40*Assumptions!$C$5/12</f>
        <v/>
      </c>
      <c r="F23" s="134">
        <f>-Assumptions!$C$40*Assumptions!$C$5/12</f>
        <v/>
      </c>
      <c r="G23" s="134">
        <f>-Assumptions!$C$40*Assumptions!$C$5/12</f>
        <v/>
      </c>
      <c r="H23" s="134">
        <f>-Assumptions!$C$40*Assumptions!$C$5/12</f>
        <v/>
      </c>
      <c r="I23" s="134">
        <f>-Assumptions!$C$40*Assumptions!$C$5/12</f>
        <v/>
      </c>
      <c r="J23" s="134">
        <f>-Assumptions!$C$40*Assumptions!$C$5/12</f>
        <v/>
      </c>
      <c r="K23" s="134">
        <f>-Assumptions!$C$40*Assumptions!$C$5/12</f>
        <v/>
      </c>
      <c r="L23" s="134">
        <f>-Assumptions!$C$40*Assumptions!$C$5/12</f>
        <v/>
      </c>
      <c r="M23" s="134">
        <f>-Assumptions!$C$40*Assumptions!$C$5/12</f>
        <v/>
      </c>
      <c r="N23" s="134">
        <f>-Assumptions!$C$40*Assumptions!$C$5/12</f>
        <v/>
      </c>
      <c r="O23" s="134">
        <f>-Assumptions!$C$40*Assumptions!$C$5/12</f>
        <v/>
      </c>
      <c r="P23" s="134">
        <f>-Assumptions!$C$40*Assumptions!$C$5/12</f>
        <v/>
      </c>
      <c r="Q23" s="134">
        <f>-Assumptions!$C$40*Assumptions!$C$5/12</f>
        <v/>
      </c>
      <c r="R23" s="134">
        <f>-Assumptions!$C$40*Assumptions!$C$5/12</f>
        <v/>
      </c>
      <c r="S23" s="134">
        <f>-Assumptions!$C$40*Assumptions!$C$5/12</f>
        <v/>
      </c>
      <c r="T23" s="134">
        <f>-Assumptions!$C$40*Assumptions!$C$5/12</f>
        <v/>
      </c>
      <c r="U23" s="134">
        <f>-Assumptions!$C$40*Assumptions!$C$5/12</f>
        <v/>
      </c>
      <c r="V23" s="134">
        <f>-Assumptions!$C$40*Assumptions!$C$5/12</f>
        <v/>
      </c>
      <c r="W23" s="134">
        <f>-Assumptions!$C$40*Assumptions!$C$5/12</f>
        <v/>
      </c>
      <c r="X23" s="134">
        <f>-Assumptions!$C$40*Assumptions!$C$5/12</f>
        <v/>
      </c>
      <c r="Y23" s="134">
        <f>-Assumptions!$C$40*Assumptions!$C$5/12</f>
        <v/>
      </c>
      <c r="Z23" s="134">
        <f>-Assumptions!$C$40*Assumptions!$C$5/12</f>
        <v/>
      </c>
      <c r="AA23" s="134">
        <f>-Assumptions!$C$40*Assumptions!$C$5/12</f>
        <v/>
      </c>
      <c r="AB23" s="134">
        <f>-Assumptions!$C$40*Assumptions!$C$5/12</f>
        <v/>
      </c>
      <c r="AC23" s="134">
        <f>-Assumptions!$C$40*Assumptions!$C$5/12</f>
        <v/>
      </c>
      <c r="AD23" s="134">
        <f>-Assumptions!$C$40*Assumptions!$C$5/12</f>
        <v/>
      </c>
      <c r="AE23" s="134">
        <f>-Assumptions!$C$40*Assumptions!$C$5/12</f>
        <v/>
      </c>
      <c r="AF23" s="134">
        <f>-Assumptions!$C$40*Assumptions!$C$5/12</f>
        <v/>
      </c>
      <c r="AG23" s="134">
        <f>-Assumptions!$C$40*Assumptions!$C$5/12</f>
        <v/>
      </c>
      <c r="AH23" s="134">
        <f>-Assumptions!$C$40*Assumptions!$C$5/12</f>
        <v/>
      </c>
      <c r="AI23" s="134">
        <f>-Assumptions!$C$40*Assumptions!$C$5/12</f>
        <v/>
      </c>
      <c r="AJ23" s="134">
        <f>-Assumptions!$C$40*Assumptions!$C$5/12</f>
        <v/>
      </c>
      <c r="AK23" s="134">
        <f>-Assumptions!$C$40*Assumptions!$C$5/12</f>
        <v/>
      </c>
      <c r="AL23" s="134">
        <f>-Assumptions!$C$40*Assumptions!$C$5/12</f>
        <v/>
      </c>
      <c r="AM23" s="134">
        <f>-Assumptions!$C$40*Assumptions!$C$5/12</f>
        <v/>
      </c>
      <c r="AN23" s="134">
        <f>-Assumptions!$C$40*Assumptions!$C$5/12</f>
        <v/>
      </c>
      <c r="AO23" s="134">
        <f>-Assumptions!$C$40*Assumptions!$C$5/12</f>
        <v/>
      </c>
      <c r="AP23" s="134">
        <f>-Assumptions!$C$40*Assumptions!$C$5/12</f>
        <v/>
      </c>
      <c r="AQ23" s="134">
        <f>-Assumptions!$C$40*Assumptions!$C$5/12</f>
        <v/>
      </c>
      <c r="AR23" s="134">
        <f>-Assumptions!$C$40*Assumptions!$C$5/12</f>
        <v/>
      </c>
      <c r="AS23" s="134">
        <f>-Assumptions!$C$40*Assumptions!$C$5/12</f>
        <v/>
      </c>
      <c r="AT23" s="134">
        <f>-Assumptions!$C$40*Assumptions!$C$5/12</f>
        <v/>
      </c>
      <c r="AU23" s="134">
        <f>-Assumptions!$C$40*Assumptions!$C$5/12</f>
        <v/>
      </c>
      <c r="AV23" s="134">
        <f>-Assumptions!$C$40*Assumptions!$C$5/12</f>
        <v/>
      </c>
      <c r="AW23" s="134">
        <f>-Assumptions!$C$40*Assumptions!$C$5/12</f>
        <v/>
      </c>
      <c r="AX23" s="134">
        <f>-Assumptions!$C$40*Assumptions!$C$5/12</f>
        <v/>
      </c>
      <c r="AY23" s="134">
        <f>-Assumptions!$C$40*Assumptions!$C$5/12</f>
        <v/>
      </c>
      <c r="AZ23" s="134">
        <f>-Assumptions!$C$40*Assumptions!$C$5/12</f>
        <v/>
      </c>
      <c r="BA23" s="134">
        <f>-Assumptions!$C$40*Assumptions!$C$5/12</f>
        <v/>
      </c>
      <c r="BB23" s="134">
        <f>-Assumptions!$C$40*Assumptions!$C$5/12</f>
        <v/>
      </c>
      <c r="BC23" s="134">
        <f>-Assumptions!$C$40*Assumptions!$C$5/12</f>
        <v/>
      </c>
      <c r="BD23" s="134">
        <f>-Assumptions!$C$40*Assumptions!$C$5/12</f>
        <v/>
      </c>
      <c r="BE23" s="134">
        <f>-Assumptions!$C$40*Assumptions!$C$5/12</f>
        <v/>
      </c>
      <c r="BF23" s="134">
        <f>-Assumptions!$C$40*Assumptions!$C$5/12</f>
        <v/>
      </c>
      <c r="BG23" s="134">
        <f>-Assumptions!$C$40*Assumptions!$C$5/12</f>
        <v/>
      </c>
      <c r="BH23" s="134">
        <f>-Assumptions!$C$40*Assumptions!$C$5/12</f>
        <v/>
      </c>
      <c r="BI23" s="134">
        <f>-Assumptions!$C$40*Assumptions!$C$5/12</f>
        <v/>
      </c>
      <c r="BJ23" s="134">
        <f>-Assumptions!$C$40*Assumptions!$C$5/12</f>
        <v/>
      </c>
      <c r="BK23" s="134">
        <f>-Assumptions!$C$40*Assumptions!$C$5/12</f>
        <v/>
      </c>
    </row>
    <row r="24">
      <c r="B24" s="117" t="inlineStr">
        <is>
          <t>TOTAL CAPITAL COSTS</t>
        </is>
      </c>
      <c r="C24" s="117" t="n"/>
      <c r="D24" s="135">
        <f>SUM(D20:D23)</f>
        <v/>
      </c>
      <c r="E24" s="135">
        <f>SUM(E20:E23)</f>
        <v/>
      </c>
      <c r="F24" s="135">
        <f>SUM(F20:F23)</f>
        <v/>
      </c>
      <c r="G24" s="135">
        <f>SUM(G20:G23)</f>
        <v/>
      </c>
      <c r="H24" s="135">
        <f>SUM(H20:H23)</f>
        <v/>
      </c>
      <c r="I24" s="135">
        <f>SUM(I20:I23)</f>
        <v/>
      </c>
      <c r="J24" s="135">
        <f>SUM(J20:J23)</f>
        <v/>
      </c>
      <c r="K24" s="135">
        <f>SUM(K20:K23)</f>
        <v/>
      </c>
      <c r="L24" s="135">
        <f>SUM(L20:L23)</f>
        <v/>
      </c>
      <c r="M24" s="135">
        <f>SUM(M20:M23)</f>
        <v/>
      </c>
      <c r="N24" s="135">
        <f>SUM(N20:N23)</f>
        <v/>
      </c>
      <c r="O24" s="135">
        <f>SUM(O20:O23)</f>
        <v/>
      </c>
      <c r="P24" s="135">
        <f>SUM(P20:P23)</f>
        <v/>
      </c>
      <c r="Q24" s="135">
        <f>SUM(Q20:Q23)</f>
        <v/>
      </c>
      <c r="R24" s="135">
        <f>SUM(R20:R23)</f>
        <v/>
      </c>
      <c r="S24" s="135">
        <f>SUM(S20:S23)</f>
        <v/>
      </c>
      <c r="T24" s="135">
        <f>SUM(T20:T23)</f>
        <v/>
      </c>
      <c r="U24" s="135">
        <f>SUM(U20:U23)</f>
        <v/>
      </c>
      <c r="V24" s="135">
        <f>SUM(V20:V23)</f>
        <v/>
      </c>
      <c r="W24" s="135">
        <f>SUM(W20:W23)</f>
        <v/>
      </c>
      <c r="X24" s="135">
        <f>SUM(X20:X23)</f>
        <v/>
      </c>
      <c r="Y24" s="135">
        <f>SUM(Y20:Y23)</f>
        <v/>
      </c>
      <c r="Z24" s="135">
        <f>SUM(Z20:Z23)</f>
        <v/>
      </c>
      <c r="AA24" s="135">
        <f>SUM(AA20:AA23)</f>
        <v/>
      </c>
      <c r="AB24" s="135">
        <f>SUM(AB20:AB23)</f>
        <v/>
      </c>
      <c r="AC24" s="135">
        <f>SUM(AC20:AC23)</f>
        <v/>
      </c>
      <c r="AD24" s="135">
        <f>SUM(AD20:AD23)</f>
        <v/>
      </c>
      <c r="AE24" s="135">
        <f>SUM(AE20:AE23)</f>
        <v/>
      </c>
      <c r="AF24" s="135">
        <f>SUM(AF20:AF23)</f>
        <v/>
      </c>
      <c r="AG24" s="135">
        <f>SUM(AG20:AG23)</f>
        <v/>
      </c>
      <c r="AH24" s="135">
        <f>SUM(AH20:AH23)</f>
        <v/>
      </c>
      <c r="AI24" s="135">
        <f>SUM(AI20:AI23)</f>
        <v/>
      </c>
      <c r="AJ24" s="135">
        <f>SUM(AJ20:AJ23)</f>
        <v/>
      </c>
      <c r="AK24" s="135">
        <f>SUM(AK20:AK23)</f>
        <v/>
      </c>
      <c r="AL24" s="135">
        <f>SUM(AL20:AL23)</f>
        <v/>
      </c>
      <c r="AM24" s="135">
        <f>SUM(AM20:AM23)</f>
        <v/>
      </c>
      <c r="AN24" s="135">
        <f>SUM(AN20:AN23)</f>
        <v/>
      </c>
      <c r="AO24" s="135">
        <f>SUM(AO20:AO23)</f>
        <v/>
      </c>
      <c r="AP24" s="135">
        <f>SUM(AP20:AP23)</f>
        <v/>
      </c>
      <c r="AQ24" s="135">
        <f>SUM(AQ20:AQ23)</f>
        <v/>
      </c>
      <c r="AR24" s="135">
        <f>SUM(AR20:AR23)</f>
        <v/>
      </c>
      <c r="AS24" s="135">
        <f>SUM(AS20:AS23)</f>
        <v/>
      </c>
      <c r="AT24" s="135">
        <f>SUM(AT20:AT23)</f>
        <v/>
      </c>
      <c r="AU24" s="135">
        <f>SUM(AU20:AU23)</f>
        <v/>
      </c>
      <c r="AV24" s="135">
        <f>SUM(AV20:AV23)</f>
        <v/>
      </c>
      <c r="AW24" s="135">
        <f>SUM(AW20:AW23)</f>
        <v/>
      </c>
      <c r="AX24" s="135">
        <f>SUM(AX20:AX23)</f>
        <v/>
      </c>
      <c r="AY24" s="135">
        <f>SUM(AY20:AY23)</f>
        <v/>
      </c>
      <c r="AZ24" s="135">
        <f>SUM(AZ20:AZ23)</f>
        <v/>
      </c>
      <c r="BA24" s="135">
        <f>SUM(BA20:BA23)</f>
        <v/>
      </c>
      <c r="BB24" s="135">
        <f>SUM(BB20:BB23)</f>
        <v/>
      </c>
      <c r="BC24" s="135">
        <f>SUM(BC20:BC23)</f>
        <v/>
      </c>
      <c r="BD24" s="135">
        <f>SUM(BD20:BD23)</f>
        <v/>
      </c>
      <c r="BE24" s="135">
        <f>SUM(BE20:BE23)</f>
        <v/>
      </c>
      <c r="BF24" s="135">
        <f>SUM(BF20:BF23)</f>
        <v/>
      </c>
      <c r="BG24" s="135">
        <f>SUM(BG20:BG23)</f>
        <v/>
      </c>
      <c r="BH24" s="135">
        <f>SUM(BH20:BH23)</f>
        <v/>
      </c>
      <c r="BI24" s="135">
        <f>SUM(BI20:BI23)</f>
        <v/>
      </c>
      <c r="BJ24" s="135">
        <f>SUM(BJ20:BJ23)</f>
        <v/>
      </c>
      <c r="BK24" s="135">
        <f>SUM(BK20:BK23)</f>
        <v/>
      </c>
      <c r="BL24" s="117" t="n"/>
    </row>
    <row r="25"/>
    <row r="26">
      <c r="B26" s="59" t="inlineStr">
        <is>
          <t>PURCHASE AND SALE</t>
        </is>
      </c>
      <c r="C26" s="59" t="n"/>
      <c r="D26" s="59" t="n"/>
      <c r="E26" s="59" t="n"/>
      <c r="F26" s="59" t="n"/>
      <c r="G26" s="59" t="n"/>
      <c r="H26" s="59" t="n"/>
      <c r="I26" s="59" t="n"/>
      <c r="J26" s="59" t="n"/>
      <c r="K26" s="59" t="n"/>
      <c r="L26" s="59" t="n"/>
      <c r="M26" s="59" t="n"/>
      <c r="N26" s="59" t="n"/>
      <c r="O26" s="59" t="n"/>
      <c r="P26" s="59" t="n"/>
      <c r="Q26" s="59" t="n"/>
      <c r="R26" s="59" t="n"/>
      <c r="S26" s="59" t="n"/>
      <c r="T26" s="59" t="n"/>
      <c r="U26" s="59" t="n"/>
      <c r="V26" s="59" t="n"/>
      <c r="W26" s="59" t="n"/>
      <c r="X26" s="59" t="n"/>
      <c r="Y26" s="59" t="n"/>
      <c r="Z26" s="59" t="n"/>
      <c r="AA26" s="59" t="n"/>
      <c r="AB26" s="59" t="n"/>
      <c r="AC26" s="59" t="n"/>
      <c r="AD26" s="59" t="n"/>
      <c r="AE26" s="59" t="n"/>
      <c r="AF26" s="59" t="n"/>
      <c r="AG26" s="59" t="n"/>
      <c r="AH26" s="59" t="n"/>
      <c r="AI26" s="59" t="n"/>
      <c r="AJ26" s="59" t="n"/>
      <c r="AK26" s="59" t="n"/>
      <c r="AL26" s="59" t="n"/>
      <c r="AM26" s="59" t="n"/>
      <c r="AN26" s="59" t="n"/>
      <c r="AO26" s="59" t="n"/>
      <c r="AP26" s="59" t="n"/>
      <c r="AQ26" s="59" t="n"/>
      <c r="AR26" s="59" t="n"/>
      <c r="AS26" s="59" t="n"/>
      <c r="AT26" s="59" t="n"/>
      <c r="AU26" s="59" t="n"/>
      <c r="AV26" s="59" t="n"/>
      <c r="AW26" s="59" t="n"/>
      <c r="AX26" s="59" t="n"/>
      <c r="AY26" s="59" t="n"/>
      <c r="AZ26" s="59" t="n"/>
      <c r="BA26" s="59" t="n"/>
      <c r="BB26" s="59" t="n"/>
      <c r="BC26" s="59" t="n"/>
      <c r="BD26" s="59" t="n"/>
      <c r="BE26" s="59" t="n"/>
      <c r="BF26" s="59" t="n"/>
      <c r="BG26" s="59" t="n"/>
      <c r="BH26" s="59" t="n"/>
      <c r="BI26" s="59" t="n"/>
      <c r="BJ26" s="59" t="n"/>
      <c r="BK26" s="59" t="n"/>
      <c r="BL26" s="59" t="n"/>
    </row>
    <row r="27">
      <c r="B27" s="83" t="inlineStr">
        <is>
          <t>Purchase price + closing costs</t>
        </is>
      </c>
      <c r="C27" s="134">
        <f>-('Sources and Uses'!C4+'Sources and Uses'!C5)</f>
        <v/>
      </c>
    </row>
    <row r="28">
      <c r="B28" s="83" t="inlineStr">
        <is>
          <t>Net sale proceeds</t>
        </is>
      </c>
      <c r="D28" s="134">
        <f>IF(D$2=Assumptions!$C$50,(E17*12/Assumptions!$C$51)*(1-Assumptions!$C$52),0)</f>
        <v/>
      </c>
      <c r="E28" s="134">
        <f>IF(E$2=Assumptions!$C$50,(F17*12/Assumptions!$C$51)*(1-Assumptions!$C$52),0)</f>
        <v/>
      </c>
      <c r="F28" s="134">
        <f>IF(F$2=Assumptions!$C$50,(G17*12/Assumptions!$C$51)*(1-Assumptions!$C$52),0)</f>
        <v/>
      </c>
      <c r="G28" s="134">
        <f>IF(G$2=Assumptions!$C$50,(H17*12/Assumptions!$C$51)*(1-Assumptions!$C$52),0)</f>
        <v/>
      </c>
      <c r="H28" s="134">
        <f>IF(H$2=Assumptions!$C$50,(I17*12/Assumptions!$C$51)*(1-Assumptions!$C$52),0)</f>
        <v/>
      </c>
      <c r="I28" s="134">
        <f>IF(I$2=Assumptions!$C$50,(J17*12/Assumptions!$C$51)*(1-Assumptions!$C$52),0)</f>
        <v/>
      </c>
      <c r="J28" s="134">
        <f>IF(J$2=Assumptions!$C$50,(K17*12/Assumptions!$C$51)*(1-Assumptions!$C$52),0)</f>
        <v/>
      </c>
      <c r="K28" s="134">
        <f>IF(K$2=Assumptions!$C$50,(L17*12/Assumptions!$C$51)*(1-Assumptions!$C$52),0)</f>
        <v/>
      </c>
      <c r="L28" s="134">
        <f>IF(L$2=Assumptions!$C$50,(M17*12/Assumptions!$C$51)*(1-Assumptions!$C$52),0)</f>
        <v/>
      </c>
      <c r="M28" s="134">
        <f>IF(M$2=Assumptions!$C$50,(N17*12/Assumptions!$C$51)*(1-Assumptions!$C$52),0)</f>
        <v/>
      </c>
      <c r="N28" s="134">
        <f>IF(N$2=Assumptions!$C$50,(O17*12/Assumptions!$C$51)*(1-Assumptions!$C$52),0)</f>
        <v/>
      </c>
      <c r="O28" s="134">
        <f>IF(O$2=Assumptions!$C$50,(P17*12/Assumptions!$C$51)*(1-Assumptions!$C$52),0)</f>
        <v/>
      </c>
      <c r="P28" s="134">
        <f>IF(P$2=Assumptions!$C$50,(Q17*12/Assumptions!$C$51)*(1-Assumptions!$C$52),0)</f>
        <v/>
      </c>
      <c r="Q28" s="134">
        <f>IF(Q$2=Assumptions!$C$50,(R17*12/Assumptions!$C$51)*(1-Assumptions!$C$52),0)</f>
        <v/>
      </c>
      <c r="R28" s="134">
        <f>IF(R$2=Assumptions!$C$50,(S17*12/Assumptions!$C$51)*(1-Assumptions!$C$52),0)</f>
        <v/>
      </c>
      <c r="S28" s="134">
        <f>IF(S$2=Assumptions!$C$50,(T17*12/Assumptions!$C$51)*(1-Assumptions!$C$52),0)</f>
        <v/>
      </c>
      <c r="T28" s="134">
        <f>IF(T$2=Assumptions!$C$50,(U17*12/Assumptions!$C$51)*(1-Assumptions!$C$52),0)</f>
        <v/>
      </c>
      <c r="U28" s="134">
        <f>IF(U$2=Assumptions!$C$50,(V17*12/Assumptions!$C$51)*(1-Assumptions!$C$52),0)</f>
        <v/>
      </c>
      <c r="V28" s="134">
        <f>IF(V$2=Assumptions!$C$50,(W17*12/Assumptions!$C$51)*(1-Assumptions!$C$52),0)</f>
        <v/>
      </c>
      <c r="W28" s="134">
        <f>IF(W$2=Assumptions!$C$50,(X17*12/Assumptions!$C$51)*(1-Assumptions!$C$52),0)</f>
        <v/>
      </c>
      <c r="X28" s="134">
        <f>IF(X$2=Assumptions!$C$50,(Y17*12/Assumptions!$C$51)*(1-Assumptions!$C$52),0)</f>
        <v/>
      </c>
      <c r="Y28" s="134">
        <f>IF(Y$2=Assumptions!$C$50,(Z17*12/Assumptions!$C$51)*(1-Assumptions!$C$52),0)</f>
        <v/>
      </c>
      <c r="Z28" s="134">
        <f>IF(Z$2=Assumptions!$C$50,(AA17*12/Assumptions!$C$51)*(1-Assumptions!$C$52),0)</f>
        <v/>
      </c>
      <c r="AA28" s="134">
        <f>IF(AA$2=Assumptions!$C$50,(AB17*12/Assumptions!$C$51)*(1-Assumptions!$C$52),0)</f>
        <v/>
      </c>
      <c r="AB28" s="134">
        <f>IF(AB$2=Assumptions!$C$50,(AC17*12/Assumptions!$C$51)*(1-Assumptions!$C$52),0)</f>
        <v/>
      </c>
      <c r="AC28" s="134">
        <f>IF(AC$2=Assumptions!$C$50,(AD17*12/Assumptions!$C$51)*(1-Assumptions!$C$52),0)</f>
        <v/>
      </c>
      <c r="AD28" s="134">
        <f>IF(AD$2=Assumptions!$C$50,(AE17*12/Assumptions!$C$51)*(1-Assumptions!$C$52),0)</f>
        <v/>
      </c>
      <c r="AE28" s="134">
        <f>IF(AE$2=Assumptions!$C$50,(AF17*12/Assumptions!$C$51)*(1-Assumptions!$C$52),0)</f>
        <v/>
      </c>
      <c r="AF28" s="134">
        <f>IF(AF$2=Assumptions!$C$50,(AG17*12/Assumptions!$C$51)*(1-Assumptions!$C$52),0)</f>
        <v/>
      </c>
      <c r="AG28" s="134">
        <f>IF(AG$2=Assumptions!$C$50,(AH17*12/Assumptions!$C$51)*(1-Assumptions!$C$52),0)</f>
        <v/>
      </c>
      <c r="AH28" s="134">
        <f>IF(AH$2=Assumptions!$C$50,(AI17*12/Assumptions!$C$51)*(1-Assumptions!$C$52),0)</f>
        <v/>
      </c>
      <c r="AI28" s="134">
        <f>IF(AI$2=Assumptions!$C$50,(AJ17*12/Assumptions!$C$51)*(1-Assumptions!$C$52),0)</f>
        <v/>
      </c>
      <c r="AJ28" s="134">
        <f>IF(AJ$2=Assumptions!$C$50,(AK17*12/Assumptions!$C$51)*(1-Assumptions!$C$52),0)</f>
        <v/>
      </c>
      <c r="AK28" s="134">
        <f>IF(AK$2=Assumptions!$C$50,(AL17*12/Assumptions!$C$51)*(1-Assumptions!$C$52),0)</f>
        <v/>
      </c>
      <c r="AL28" s="134">
        <f>IF(AL$2=Assumptions!$C$50,(AM17*12/Assumptions!$C$51)*(1-Assumptions!$C$52),0)</f>
        <v/>
      </c>
      <c r="AM28" s="134">
        <f>IF(AM$2=Assumptions!$C$50,(AN17*12/Assumptions!$C$51)*(1-Assumptions!$C$52),0)</f>
        <v/>
      </c>
      <c r="AN28" s="134">
        <f>IF(AN$2=Assumptions!$C$50,(AO17*12/Assumptions!$C$51)*(1-Assumptions!$C$52),0)</f>
        <v/>
      </c>
      <c r="AO28" s="134">
        <f>IF(AO$2=Assumptions!$C$50,(AP17*12/Assumptions!$C$51)*(1-Assumptions!$C$52),0)</f>
        <v/>
      </c>
      <c r="AP28" s="134">
        <f>IF(AP$2=Assumptions!$C$50,(AQ17*12/Assumptions!$C$51)*(1-Assumptions!$C$52),0)</f>
        <v/>
      </c>
      <c r="AQ28" s="134">
        <f>IF(AQ$2=Assumptions!$C$50,(AR17*12/Assumptions!$C$51)*(1-Assumptions!$C$52),0)</f>
        <v/>
      </c>
      <c r="AR28" s="134">
        <f>IF(AR$2=Assumptions!$C$50,(AS17*12/Assumptions!$C$51)*(1-Assumptions!$C$52),0)</f>
        <v/>
      </c>
      <c r="AS28" s="134">
        <f>IF(AS$2=Assumptions!$C$50,(AT17*12/Assumptions!$C$51)*(1-Assumptions!$C$52),0)</f>
        <v/>
      </c>
      <c r="AT28" s="134">
        <f>IF(AT$2=Assumptions!$C$50,(AU17*12/Assumptions!$C$51)*(1-Assumptions!$C$52),0)</f>
        <v/>
      </c>
      <c r="AU28" s="134">
        <f>IF(AU$2=Assumptions!$C$50,(AV17*12/Assumptions!$C$51)*(1-Assumptions!$C$52),0)</f>
        <v/>
      </c>
      <c r="AV28" s="134">
        <f>IF(AV$2=Assumptions!$C$50,(AW17*12/Assumptions!$C$51)*(1-Assumptions!$C$52),0)</f>
        <v/>
      </c>
      <c r="AW28" s="134">
        <f>IF(AW$2=Assumptions!$C$50,(AX17*12/Assumptions!$C$51)*(1-Assumptions!$C$52),0)</f>
        <v/>
      </c>
      <c r="AX28" s="134">
        <f>IF(AX$2=Assumptions!$C$50,(AY17*12/Assumptions!$C$51)*(1-Assumptions!$C$52),0)</f>
        <v/>
      </c>
      <c r="AY28" s="134">
        <f>IF(AY$2=Assumptions!$C$50,(AZ17*12/Assumptions!$C$51)*(1-Assumptions!$C$52),0)</f>
        <v/>
      </c>
      <c r="AZ28" s="134">
        <f>IF(AZ$2=Assumptions!$C$50,(BA17*12/Assumptions!$C$51)*(1-Assumptions!$C$52),0)</f>
        <v/>
      </c>
      <c r="BA28" s="134">
        <f>IF(BA$2=Assumptions!$C$50,(BB17*12/Assumptions!$C$51)*(1-Assumptions!$C$52),0)</f>
        <v/>
      </c>
      <c r="BB28" s="134">
        <f>IF(BB$2=Assumptions!$C$50,(BC17*12/Assumptions!$C$51)*(1-Assumptions!$C$52),0)</f>
        <v/>
      </c>
      <c r="BC28" s="134">
        <f>IF(BC$2=Assumptions!$C$50,(BD17*12/Assumptions!$C$51)*(1-Assumptions!$C$52),0)</f>
        <v/>
      </c>
      <c r="BD28" s="134">
        <f>IF(BD$2=Assumptions!$C$50,(BE17*12/Assumptions!$C$51)*(1-Assumptions!$C$52),0)</f>
        <v/>
      </c>
      <c r="BE28" s="134">
        <f>IF(BE$2=Assumptions!$C$50,(BF17*12/Assumptions!$C$51)*(1-Assumptions!$C$52),0)</f>
        <v/>
      </c>
      <c r="BF28" s="134">
        <f>IF(BF$2=Assumptions!$C$50,(BG17*12/Assumptions!$C$51)*(1-Assumptions!$C$52),0)</f>
        <v/>
      </c>
      <c r="BG28" s="134">
        <f>IF(BG$2=Assumptions!$C$50,(BH17*12/Assumptions!$C$51)*(1-Assumptions!$C$52),0)</f>
        <v/>
      </c>
      <c r="BH28" s="134">
        <f>IF(BH$2=Assumptions!$C$50,(BI17*12/Assumptions!$C$51)*(1-Assumptions!$C$52),0)</f>
        <v/>
      </c>
      <c r="BI28" s="134">
        <f>IF(BI$2=Assumptions!$C$50,(BJ17*12/Assumptions!$C$51)*(1-Assumptions!$C$52),0)</f>
        <v/>
      </c>
      <c r="BJ28" s="134">
        <f>IF(BJ$2=Assumptions!$C$50,(BK17*12/Assumptions!$C$51)*(1-Assumptions!$C$52),0)</f>
        <v/>
      </c>
      <c r="BK28" s="134">
        <f>IF(BK$2=Assumptions!$C$50,(BL17*12/Assumptions!$C$51)*(1-Assumptions!$C$52),0)</f>
        <v/>
      </c>
    </row>
    <row r="29"/>
    <row r="30">
      <c r="B30" s="136" t="inlineStr">
        <is>
          <t>UNLEVERED CASH FLOW</t>
        </is>
      </c>
      <c r="C30" s="137">
        <f>SUM(C17,C24,C27,C28)</f>
        <v/>
      </c>
      <c r="D30" s="137">
        <f>SUM(D17,D24,D27,D28)</f>
        <v/>
      </c>
      <c r="E30" s="137">
        <f>SUM(E17,E24,E27,E28)</f>
        <v/>
      </c>
      <c r="F30" s="137">
        <f>SUM(F17,F24,F27,F28)</f>
        <v/>
      </c>
      <c r="G30" s="137">
        <f>SUM(G17,G24,G27,G28)</f>
        <v/>
      </c>
      <c r="H30" s="137">
        <f>SUM(H17,H24,H27,H28)</f>
        <v/>
      </c>
      <c r="I30" s="137">
        <f>SUM(I17,I24,I27,I28)</f>
        <v/>
      </c>
      <c r="J30" s="137">
        <f>SUM(J17,J24,J27,J28)</f>
        <v/>
      </c>
      <c r="K30" s="137">
        <f>SUM(K17,K24,K27,K28)</f>
        <v/>
      </c>
      <c r="L30" s="137">
        <f>SUM(L17,L24,L27,L28)</f>
        <v/>
      </c>
      <c r="M30" s="137">
        <f>SUM(M17,M24,M27,M28)</f>
        <v/>
      </c>
      <c r="N30" s="137">
        <f>SUM(N17,N24,N27,N28)</f>
        <v/>
      </c>
      <c r="O30" s="137">
        <f>SUM(O17,O24,O27,O28)</f>
        <v/>
      </c>
      <c r="P30" s="137">
        <f>SUM(P17,P24,P27,P28)</f>
        <v/>
      </c>
      <c r="Q30" s="137">
        <f>SUM(Q17,Q24,Q27,Q28)</f>
        <v/>
      </c>
      <c r="R30" s="137">
        <f>SUM(R17,R24,R27,R28)</f>
        <v/>
      </c>
      <c r="S30" s="137">
        <f>SUM(S17,S24,S27,S28)</f>
        <v/>
      </c>
      <c r="T30" s="137">
        <f>SUM(T17,T24,T27,T28)</f>
        <v/>
      </c>
      <c r="U30" s="137">
        <f>SUM(U17,U24,U27,U28)</f>
        <v/>
      </c>
      <c r="V30" s="137">
        <f>SUM(V17,V24,V27,V28)</f>
        <v/>
      </c>
      <c r="W30" s="137">
        <f>SUM(W17,W24,W27,W28)</f>
        <v/>
      </c>
      <c r="X30" s="137">
        <f>SUM(X17,X24,X27,X28)</f>
        <v/>
      </c>
      <c r="Y30" s="137">
        <f>SUM(Y17,Y24,Y27,Y28)</f>
        <v/>
      </c>
      <c r="Z30" s="137">
        <f>SUM(Z17,Z24,Z27,Z28)</f>
        <v/>
      </c>
      <c r="AA30" s="137">
        <f>SUM(AA17,AA24,AA27,AA28)</f>
        <v/>
      </c>
      <c r="AB30" s="137">
        <f>SUM(AB17,AB24,AB27,AB28)</f>
        <v/>
      </c>
      <c r="AC30" s="137">
        <f>SUM(AC17,AC24,AC27,AC28)</f>
        <v/>
      </c>
      <c r="AD30" s="137">
        <f>SUM(AD17,AD24,AD27,AD28)</f>
        <v/>
      </c>
      <c r="AE30" s="137">
        <f>SUM(AE17,AE24,AE27,AE28)</f>
        <v/>
      </c>
      <c r="AF30" s="137">
        <f>SUM(AF17,AF24,AF27,AF28)</f>
        <v/>
      </c>
      <c r="AG30" s="137">
        <f>SUM(AG17,AG24,AG27,AG28)</f>
        <v/>
      </c>
      <c r="AH30" s="137">
        <f>SUM(AH17,AH24,AH27,AH28)</f>
        <v/>
      </c>
      <c r="AI30" s="137">
        <f>SUM(AI17,AI24,AI27,AI28)</f>
        <v/>
      </c>
      <c r="AJ30" s="137">
        <f>SUM(AJ17,AJ24,AJ27,AJ28)</f>
        <v/>
      </c>
      <c r="AK30" s="137">
        <f>SUM(AK17,AK24,AK27,AK28)</f>
        <v/>
      </c>
      <c r="AL30" s="137">
        <f>SUM(AL17,AL24,AL27,AL28)</f>
        <v/>
      </c>
      <c r="AM30" s="137">
        <f>SUM(AM17,AM24,AM27,AM28)</f>
        <v/>
      </c>
      <c r="AN30" s="137">
        <f>SUM(AN17,AN24,AN27,AN28)</f>
        <v/>
      </c>
      <c r="AO30" s="137">
        <f>SUM(AO17,AO24,AO27,AO28)</f>
        <v/>
      </c>
      <c r="AP30" s="137">
        <f>SUM(AP17,AP24,AP27,AP28)</f>
        <v/>
      </c>
      <c r="AQ30" s="137">
        <f>SUM(AQ17,AQ24,AQ27,AQ28)</f>
        <v/>
      </c>
      <c r="AR30" s="137">
        <f>SUM(AR17,AR24,AR27,AR28)</f>
        <v/>
      </c>
      <c r="AS30" s="137">
        <f>SUM(AS17,AS24,AS27,AS28)</f>
        <v/>
      </c>
      <c r="AT30" s="137">
        <f>SUM(AT17,AT24,AT27,AT28)</f>
        <v/>
      </c>
      <c r="AU30" s="137">
        <f>SUM(AU17,AU24,AU27,AU28)</f>
        <v/>
      </c>
      <c r="AV30" s="137">
        <f>SUM(AV17,AV24,AV27,AV28)</f>
        <v/>
      </c>
      <c r="AW30" s="137">
        <f>SUM(AW17,AW24,AW27,AW28)</f>
        <v/>
      </c>
      <c r="AX30" s="137">
        <f>SUM(AX17,AX24,AX27,AX28)</f>
        <v/>
      </c>
      <c r="AY30" s="137">
        <f>SUM(AY17,AY24,AY27,AY28)</f>
        <v/>
      </c>
      <c r="AZ30" s="137">
        <f>SUM(AZ17,AZ24,AZ27,AZ28)</f>
        <v/>
      </c>
      <c r="BA30" s="137">
        <f>SUM(BA17,BA24,BA27,BA28)</f>
        <v/>
      </c>
      <c r="BB30" s="137">
        <f>SUM(BB17,BB24,BB27,BB28)</f>
        <v/>
      </c>
      <c r="BC30" s="137">
        <f>SUM(BC17,BC24,BC27,BC28)</f>
        <v/>
      </c>
      <c r="BD30" s="137">
        <f>SUM(BD17,BD24,BD27,BD28)</f>
        <v/>
      </c>
      <c r="BE30" s="137">
        <f>SUM(BE17,BE24,BE27,BE28)</f>
        <v/>
      </c>
      <c r="BF30" s="137">
        <f>SUM(BF17,BF24,BF27,BF28)</f>
        <v/>
      </c>
      <c r="BG30" s="137">
        <f>SUM(BG17,BG24,BG27,BG28)</f>
        <v/>
      </c>
      <c r="BH30" s="137">
        <f>SUM(BH17,BH24,BH27,BH28)</f>
        <v/>
      </c>
      <c r="BI30" s="137">
        <f>SUM(BI17,BI24,BI27,BI28)</f>
        <v/>
      </c>
      <c r="BJ30" s="137">
        <f>SUM(BJ17,BJ24,BJ27,BJ28)</f>
        <v/>
      </c>
      <c r="BK30" s="137">
        <f>SUM(BK17,BK24,BK27,BK28)</f>
        <v/>
      </c>
      <c r="BL30" s="136" t="n"/>
    </row>
    <row r="31"/>
    <row r="32">
      <c r="B32" s="59" t="inlineStr">
        <is>
          <t>FINANCING</t>
        </is>
      </c>
      <c r="C32" s="59" t="n"/>
      <c r="D32" s="59" t="n"/>
      <c r="E32" s="59" t="n"/>
      <c r="F32" s="59" t="n"/>
      <c r="G32" s="59" t="n"/>
      <c r="H32" s="59" t="n"/>
      <c r="I32" s="59" t="n"/>
      <c r="J32" s="59" t="n"/>
      <c r="K32" s="59" t="n"/>
      <c r="L32" s="59" t="n"/>
      <c r="M32" s="59" t="n"/>
      <c r="N32" s="59" t="n"/>
      <c r="O32" s="59" t="n"/>
      <c r="P32" s="59" t="n"/>
      <c r="Q32" s="59" t="n"/>
      <c r="R32" s="59" t="n"/>
      <c r="S32" s="59" t="n"/>
      <c r="T32" s="59" t="n"/>
      <c r="U32" s="59" t="n"/>
      <c r="V32" s="59" t="n"/>
      <c r="W32" s="59" t="n"/>
      <c r="X32" s="59" t="n"/>
      <c r="Y32" s="59" t="n"/>
      <c r="Z32" s="59" t="n"/>
      <c r="AA32" s="59" t="n"/>
      <c r="AB32" s="59" t="n"/>
      <c r="AC32" s="59" t="n"/>
      <c r="AD32" s="59" t="n"/>
      <c r="AE32" s="59" t="n"/>
      <c r="AF32" s="59" t="n"/>
      <c r="AG32" s="59" t="n"/>
      <c r="AH32" s="59" t="n"/>
      <c r="AI32" s="59" t="n"/>
      <c r="AJ32" s="59" t="n"/>
      <c r="AK32" s="59" t="n"/>
      <c r="AL32" s="59" t="n"/>
      <c r="AM32" s="59" t="n"/>
      <c r="AN32" s="59" t="n"/>
      <c r="AO32" s="59" t="n"/>
      <c r="AP32" s="59" t="n"/>
      <c r="AQ32" s="59" t="n"/>
      <c r="AR32" s="59" t="n"/>
      <c r="AS32" s="59" t="n"/>
      <c r="AT32" s="59" t="n"/>
      <c r="AU32" s="59" t="n"/>
      <c r="AV32" s="59" t="n"/>
      <c r="AW32" s="59" t="n"/>
      <c r="AX32" s="59" t="n"/>
      <c r="AY32" s="59" t="n"/>
      <c r="AZ32" s="59" t="n"/>
      <c r="BA32" s="59" t="n"/>
      <c r="BB32" s="59" t="n"/>
      <c r="BC32" s="59" t="n"/>
      <c r="BD32" s="59" t="n"/>
      <c r="BE32" s="59" t="n"/>
      <c r="BF32" s="59" t="n"/>
      <c r="BG32" s="59" t="n"/>
      <c r="BH32" s="59" t="n"/>
      <c r="BI32" s="59" t="n"/>
      <c r="BJ32" s="59" t="n"/>
      <c r="BK32" s="59" t="n"/>
      <c r="BL32" s="59" t="n"/>
    </row>
    <row r="33">
      <c r="B33" s="83" t="inlineStr">
        <is>
          <t>Loan proceeds</t>
        </is>
      </c>
      <c r="C33" s="134">
        <f>'Sources and Uses'!C15</f>
        <v/>
      </c>
    </row>
    <row r="34">
      <c r="B34" s="83" t="inlineStr">
        <is>
          <t>Loan fee</t>
        </is>
      </c>
      <c r="C34" s="134">
        <f>-'Sources and Uses'!C11</f>
        <v/>
      </c>
    </row>
    <row r="35">
      <c r="B35" s="83" t="inlineStr">
        <is>
          <t>Interest (interest-only)</t>
        </is>
      </c>
      <c r="D35" s="134">
        <f>IF(D$2&lt;=Assumptions!$C$50,-'Sources and Uses'!$C$15*Assumptions!$C$45/12,0)</f>
        <v/>
      </c>
      <c r="E35" s="134">
        <f>IF(E$2&lt;=Assumptions!$C$50,-'Sources and Uses'!$C$15*Assumptions!$C$45/12,0)</f>
        <v/>
      </c>
      <c r="F35" s="134">
        <f>IF(F$2&lt;=Assumptions!$C$50,-'Sources and Uses'!$C$15*Assumptions!$C$45/12,0)</f>
        <v/>
      </c>
      <c r="G35" s="134">
        <f>IF(G$2&lt;=Assumptions!$C$50,-'Sources and Uses'!$C$15*Assumptions!$C$45/12,0)</f>
        <v/>
      </c>
      <c r="H35" s="134">
        <f>IF(H$2&lt;=Assumptions!$C$50,-'Sources and Uses'!$C$15*Assumptions!$C$45/12,0)</f>
        <v/>
      </c>
      <c r="I35" s="134">
        <f>IF(I$2&lt;=Assumptions!$C$50,-'Sources and Uses'!$C$15*Assumptions!$C$45/12,0)</f>
        <v/>
      </c>
      <c r="J35" s="134">
        <f>IF(J$2&lt;=Assumptions!$C$50,-'Sources and Uses'!$C$15*Assumptions!$C$45/12,0)</f>
        <v/>
      </c>
      <c r="K35" s="134">
        <f>IF(K$2&lt;=Assumptions!$C$50,-'Sources and Uses'!$C$15*Assumptions!$C$45/12,0)</f>
        <v/>
      </c>
      <c r="L35" s="134">
        <f>IF(L$2&lt;=Assumptions!$C$50,-'Sources and Uses'!$C$15*Assumptions!$C$45/12,0)</f>
        <v/>
      </c>
      <c r="M35" s="134">
        <f>IF(M$2&lt;=Assumptions!$C$50,-'Sources and Uses'!$C$15*Assumptions!$C$45/12,0)</f>
        <v/>
      </c>
      <c r="N35" s="134">
        <f>IF(N$2&lt;=Assumptions!$C$50,-'Sources and Uses'!$C$15*Assumptions!$C$45/12,0)</f>
        <v/>
      </c>
      <c r="O35" s="134">
        <f>IF(O$2&lt;=Assumptions!$C$50,-'Sources and Uses'!$C$15*Assumptions!$C$45/12,0)</f>
        <v/>
      </c>
      <c r="P35" s="134">
        <f>IF(P$2&lt;=Assumptions!$C$50,-'Sources and Uses'!$C$15*Assumptions!$C$45/12,0)</f>
        <v/>
      </c>
      <c r="Q35" s="134">
        <f>IF(Q$2&lt;=Assumptions!$C$50,-'Sources and Uses'!$C$15*Assumptions!$C$45/12,0)</f>
        <v/>
      </c>
      <c r="R35" s="134">
        <f>IF(R$2&lt;=Assumptions!$C$50,-'Sources and Uses'!$C$15*Assumptions!$C$45/12,0)</f>
        <v/>
      </c>
      <c r="S35" s="134">
        <f>IF(S$2&lt;=Assumptions!$C$50,-'Sources and Uses'!$C$15*Assumptions!$C$45/12,0)</f>
        <v/>
      </c>
      <c r="T35" s="134">
        <f>IF(T$2&lt;=Assumptions!$C$50,-'Sources and Uses'!$C$15*Assumptions!$C$45/12,0)</f>
        <v/>
      </c>
      <c r="U35" s="134">
        <f>IF(U$2&lt;=Assumptions!$C$50,-'Sources and Uses'!$C$15*Assumptions!$C$45/12,0)</f>
        <v/>
      </c>
      <c r="V35" s="134">
        <f>IF(V$2&lt;=Assumptions!$C$50,-'Sources and Uses'!$C$15*Assumptions!$C$45/12,0)</f>
        <v/>
      </c>
      <c r="W35" s="134">
        <f>IF(W$2&lt;=Assumptions!$C$50,-'Sources and Uses'!$C$15*Assumptions!$C$45/12,0)</f>
        <v/>
      </c>
      <c r="X35" s="134">
        <f>IF(X$2&lt;=Assumptions!$C$50,-'Sources and Uses'!$C$15*Assumptions!$C$45/12,0)</f>
        <v/>
      </c>
      <c r="Y35" s="134">
        <f>IF(Y$2&lt;=Assumptions!$C$50,-'Sources and Uses'!$C$15*Assumptions!$C$45/12,0)</f>
        <v/>
      </c>
      <c r="Z35" s="134">
        <f>IF(Z$2&lt;=Assumptions!$C$50,-'Sources and Uses'!$C$15*Assumptions!$C$45/12,0)</f>
        <v/>
      </c>
      <c r="AA35" s="134">
        <f>IF(AA$2&lt;=Assumptions!$C$50,-'Sources and Uses'!$C$15*Assumptions!$C$45/12,0)</f>
        <v/>
      </c>
      <c r="AB35" s="134">
        <f>IF(AB$2&lt;=Assumptions!$C$50,-'Sources and Uses'!$C$15*Assumptions!$C$45/12,0)</f>
        <v/>
      </c>
      <c r="AC35" s="134">
        <f>IF(AC$2&lt;=Assumptions!$C$50,-'Sources and Uses'!$C$15*Assumptions!$C$45/12,0)</f>
        <v/>
      </c>
      <c r="AD35" s="134">
        <f>IF(AD$2&lt;=Assumptions!$C$50,-'Sources and Uses'!$C$15*Assumptions!$C$45/12,0)</f>
        <v/>
      </c>
      <c r="AE35" s="134">
        <f>IF(AE$2&lt;=Assumptions!$C$50,-'Sources and Uses'!$C$15*Assumptions!$C$45/12,0)</f>
        <v/>
      </c>
      <c r="AF35" s="134">
        <f>IF(AF$2&lt;=Assumptions!$C$50,-'Sources and Uses'!$C$15*Assumptions!$C$45/12,0)</f>
        <v/>
      </c>
      <c r="AG35" s="134">
        <f>IF(AG$2&lt;=Assumptions!$C$50,-'Sources and Uses'!$C$15*Assumptions!$C$45/12,0)</f>
        <v/>
      </c>
      <c r="AH35" s="134">
        <f>IF(AH$2&lt;=Assumptions!$C$50,-'Sources and Uses'!$C$15*Assumptions!$C$45/12,0)</f>
        <v/>
      </c>
      <c r="AI35" s="134">
        <f>IF(AI$2&lt;=Assumptions!$C$50,-'Sources and Uses'!$C$15*Assumptions!$C$45/12,0)</f>
        <v/>
      </c>
      <c r="AJ35" s="134">
        <f>IF(AJ$2&lt;=Assumptions!$C$50,-'Sources and Uses'!$C$15*Assumptions!$C$45/12,0)</f>
        <v/>
      </c>
      <c r="AK35" s="134">
        <f>IF(AK$2&lt;=Assumptions!$C$50,-'Sources and Uses'!$C$15*Assumptions!$C$45/12,0)</f>
        <v/>
      </c>
      <c r="AL35" s="134">
        <f>IF(AL$2&lt;=Assumptions!$C$50,-'Sources and Uses'!$C$15*Assumptions!$C$45/12,0)</f>
        <v/>
      </c>
      <c r="AM35" s="134">
        <f>IF(AM$2&lt;=Assumptions!$C$50,-'Sources and Uses'!$C$15*Assumptions!$C$45/12,0)</f>
        <v/>
      </c>
      <c r="AN35" s="134">
        <f>IF(AN$2&lt;=Assumptions!$C$50,-'Sources and Uses'!$C$15*Assumptions!$C$45/12,0)</f>
        <v/>
      </c>
      <c r="AO35" s="134">
        <f>IF(AO$2&lt;=Assumptions!$C$50,-'Sources and Uses'!$C$15*Assumptions!$C$45/12,0)</f>
        <v/>
      </c>
      <c r="AP35" s="134">
        <f>IF(AP$2&lt;=Assumptions!$C$50,-'Sources and Uses'!$C$15*Assumptions!$C$45/12,0)</f>
        <v/>
      </c>
      <c r="AQ35" s="134">
        <f>IF(AQ$2&lt;=Assumptions!$C$50,-'Sources and Uses'!$C$15*Assumptions!$C$45/12,0)</f>
        <v/>
      </c>
      <c r="AR35" s="134">
        <f>IF(AR$2&lt;=Assumptions!$C$50,-'Sources and Uses'!$C$15*Assumptions!$C$45/12,0)</f>
        <v/>
      </c>
      <c r="AS35" s="134">
        <f>IF(AS$2&lt;=Assumptions!$C$50,-'Sources and Uses'!$C$15*Assumptions!$C$45/12,0)</f>
        <v/>
      </c>
      <c r="AT35" s="134">
        <f>IF(AT$2&lt;=Assumptions!$C$50,-'Sources and Uses'!$C$15*Assumptions!$C$45/12,0)</f>
        <v/>
      </c>
      <c r="AU35" s="134">
        <f>IF(AU$2&lt;=Assumptions!$C$50,-'Sources and Uses'!$C$15*Assumptions!$C$45/12,0)</f>
        <v/>
      </c>
      <c r="AV35" s="134">
        <f>IF(AV$2&lt;=Assumptions!$C$50,-'Sources and Uses'!$C$15*Assumptions!$C$45/12,0)</f>
        <v/>
      </c>
      <c r="AW35" s="134">
        <f>IF(AW$2&lt;=Assumptions!$C$50,-'Sources and Uses'!$C$15*Assumptions!$C$45/12,0)</f>
        <v/>
      </c>
      <c r="AX35" s="134">
        <f>IF(AX$2&lt;=Assumptions!$C$50,-'Sources and Uses'!$C$15*Assumptions!$C$45/12,0)</f>
        <v/>
      </c>
      <c r="AY35" s="134">
        <f>IF(AY$2&lt;=Assumptions!$C$50,-'Sources and Uses'!$C$15*Assumptions!$C$45/12,0)</f>
        <v/>
      </c>
      <c r="AZ35" s="134">
        <f>IF(AZ$2&lt;=Assumptions!$C$50,-'Sources and Uses'!$C$15*Assumptions!$C$45/12,0)</f>
        <v/>
      </c>
      <c r="BA35" s="134">
        <f>IF(BA$2&lt;=Assumptions!$C$50,-'Sources and Uses'!$C$15*Assumptions!$C$45/12,0)</f>
        <v/>
      </c>
      <c r="BB35" s="134">
        <f>IF(BB$2&lt;=Assumptions!$C$50,-'Sources and Uses'!$C$15*Assumptions!$C$45/12,0)</f>
        <v/>
      </c>
      <c r="BC35" s="134">
        <f>IF(BC$2&lt;=Assumptions!$C$50,-'Sources and Uses'!$C$15*Assumptions!$C$45/12,0)</f>
        <v/>
      </c>
      <c r="BD35" s="134">
        <f>IF(BD$2&lt;=Assumptions!$C$50,-'Sources and Uses'!$C$15*Assumptions!$C$45/12,0)</f>
        <v/>
      </c>
      <c r="BE35" s="134">
        <f>IF(BE$2&lt;=Assumptions!$C$50,-'Sources and Uses'!$C$15*Assumptions!$C$45/12,0)</f>
        <v/>
      </c>
      <c r="BF35" s="134">
        <f>IF(BF$2&lt;=Assumptions!$C$50,-'Sources and Uses'!$C$15*Assumptions!$C$45/12,0)</f>
        <v/>
      </c>
      <c r="BG35" s="134">
        <f>IF(BG$2&lt;=Assumptions!$C$50,-'Sources and Uses'!$C$15*Assumptions!$C$45/12,0)</f>
        <v/>
      </c>
      <c r="BH35" s="134">
        <f>IF(BH$2&lt;=Assumptions!$C$50,-'Sources and Uses'!$C$15*Assumptions!$C$45/12,0)</f>
        <v/>
      </c>
      <c r="BI35" s="134">
        <f>IF(BI$2&lt;=Assumptions!$C$50,-'Sources and Uses'!$C$15*Assumptions!$C$45/12,0)</f>
        <v/>
      </c>
      <c r="BJ35" s="134">
        <f>IF(BJ$2&lt;=Assumptions!$C$50,-'Sources and Uses'!$C$15*Assumptions!$C$45/12,0)</f>
        <v/>
      </c>
      <c r="BK35" s="134">
        <f>IF(BK$2&lt;=Assumptions!$C$50,-'Sources and Uses'!$C$15*Assumptions!$C$45/12,0)</f>
        <v/>
      </c>
    </row>
    <row r="36">
      <c r="B36" s="83" t="inlineStr">
        <is>
          <t>Loan repayment</t>
        </is>
      </c>
      <c r="D36" s="134">
        <f>IF(D$2=Assumptions!$C$50,-'Sources and Uses'!$C$15,0)</f>
        <v/>
      </c>
      <c r="E36" s="134">
        <f>IF(E$2=Assumptions!$C$50,-'Sources and Uses'!$C$15,0)</f>
        <v/>
      </c>
      <c r="F36" s="134">
        <f>IF(F$2=Assumptions!$C$50,-'Sources and Uses'!$C$15,0)</f>
        <v/>
      </c>
      <c r="G36" s="134">
        <f>IF(G$2=Assumptions!$C$50,-'Sources and Uses'!$C$15,0)</f>
        <v/>
      </c>
      <c r="H36" s="134">
        <f>IF(H$2=Assumptions!$C$50,-'Sources and Uses'!$C$15,0)</f>
        <v/>
      </c>
      <c r="I36" s="134">
        <f>IF(I$2=Assumptions!$C$50,-'Sources and Uses'!$C$15,0)</f>
        <v/>
      </c>
      <c r="J36" s="134">
        <f>IF(J$2=Assumptions!$C$50,-'Sources and Uses'!$C$15,0)</f>
        <v/>
      </c>
      <c r="K36" s="134">
        <f>IF(K$2=Assumptions!$C$50,-'Sources and Uses'!$C$15,0)</f>
        <v/>
      </c>
      <c r="L36" s="134">
        <f>IF(L$2=Assumptions!$C$50,-'Sources and Uses'!$C$15,0)</f>
        <v/>
      </c>
      <c r="M36" s="134">
        <f>IF(M$2=Assumptions!$C$50,-'Sources and Uses'!$C$15,0)</f>
        <v/>
      </c>
      <c r="N36" s="134">
        <f>IF(N$2=Assumptions!$C$50,-'Sources and Uses'!$C$15,0)</f>
        <v/>
      </c>
      <c r="O36" s="134">
        <f>IF(O$2=Assumptions!$C$50,-'Sources and Uses'!$C$15,0)</f>
        <v/>
      </c>
      <c r="P36" s="134">
        <f>IF(P$2=Assumptions!$C$50,-'Sources and Uses'!$C$15,0)</f>
        <v/>
      </c>
      <c r="Q36" s="134">
        <f>IF(Q$2=Assumptions!$C$50,-'Sources and Uses'!$C$15,0)</f>
        <v/>
      </c>
      <c r="R36" s="134">
        <f>IF(R$2=Assumptions!$C$50,-'Sources and Uses'!$C$15,0)</f>
        <v/>
      </c>
      <c r="S36" s="134">
        <f>IF(S$2=Assumptions!$C$50,-'Sources and Uses'!$C$15,0)</f>
        <v/>
      </c>
      <c r="T36" s="134">
        <f>IF(T$2=Assumptions!$C$50,-'Sources and Uses'!$C$15,0)</f>
        <v/>
      </c>
      <c r="U36" s="134">
        <f>IF(U$2=Assumptions!$C$50,-'Sources and Uses'!$C$15,0)</f>
        <v/>
      </c>
      <c r="V36" s="134">
        <f>IF(V$2=Assumptions!$C$50,-'Sources and Uses'!$C$15,0)</f>
        <v/>
      </c>
      <c r="W36" s="134">
        <f>IF(W$2=Assumptions!$C$50,-'Sources and Uses'!$C$15,0)</f>
        <v/>
      </c>
      <c r="X36" s="134">
        <f>IF(X$2=Assumptions!$C$50,-'Sources and Uses'!$C$15,0)</f>
        <v/>
      </c>
      <c r="Y36" s="134">
        <f>IF(Y$2=Assumptions!$C$50,-'Sources and Uses'!$C$15,0)</f>
        <v/>
      </c>
      <c r="Z36" s="134">
        <f>IF(Z$2=Assumptions!$C$50,-'Sources and Uses'!$C$15,0)</f>
        <v/>
      </c>
      <c r="AA36" s="134">
        <f>IF(AA$2=Assumptions!$C$50,-'Sources and Uses'!$C$15,0)</f>
        <v/>
      </c>
      <c r="AB36" s="134">
        <f>IF(AB$2=Assumptions!$C$50,-'Sources and Uses'!$C$15,0)</f>
        <v/>
      </c>
      <c r="AC36" s="134">
        <f>IF(AC$2=Assumptions!$C$50,-'Sources and Uses'!$C$15,0)</f>
        <v/>
      </c>
      <c r="AD36" s="134">
        <f>IF(AD$2=Assumptions!$C$50,-'Sources and Uses'!$C$15,0)</f>
        <v/>
      </c>
      <c r="AE36" s="134">
        <f>IF(AE$2=Assumptions!$C$50,-'Sources and Uses'!$C$15,0)</f>
        <v/>
      </c>
      <c r="AF36" s="134">
        <f>IF(AF$2=Assumptions!$C$50,-'Sources and Uses'!$C$15,0)</f>
        <v/>
      </c>
      <c r="AG36" s="134">
        <f>IF(AG$2=Assumptions!$C$50,-'Sources and Uses'!$C$15,0)</f>
        <v/>
      </c>
      <c r="AH36" s="134">
        <f>IF(AH$2=Assumptions!$C$50,-'Sources and Uses'!$C$15,0)</f>
        <v/>
      </c>
      <c r="AI36" s="134">
        <f>IF(AI$2=Assumptions!$C$50,-'Sources and Uses'!$C$15,0)</f>
        <v/>
      </c>
      <c r="AJ36" s="134">
        <f>IF(AJ$2=Assumptions!$C$50,-'Sources and Uses'!$C$15,0)</f>
        <v/>
      </c>
      <c r="AK36" s="134">
        <f>IF(AK$2=Assumptions!$C$50,-'Sources and Uses'!$C$15,0)</f>
        <v/>
      </c>
      <c r="AL36" s="134">
        <f>IF(AL$2=Assumptions!$C$50,-'Sources and Uses'!$C$15,0)</f>
        <v/>
      </c>
      <c r="AM36" s="134">
        <f>IF(AM$2=Assumptions!$C$50,-'Sources and Uses'!$C$15,0)</f>
        <v/>
      </c>
      <c r="AN36" s="134">
        <f>IF(AN$2=Assumptions!$C$50,-'Sources and Uses'!$C$15,0)</f>
        <v/>
      </c>
      <c r="AO36" s="134">
        <f>IF(AO$2=Assumptions!$C$50,-'Sources and Uses'!$C$15,0)</f>
        <v/>
      </c>
      <c r="AP36" s="134">
        <f>IF(AP$2=Assumptions!$C$50,-'Sources and Uses'!$C$15,0)</f>
        <v/>
      </c>
      <c r="AQ36" s="134">
        <f>IF(AQ$2=Assumptions!$C$50,-'Sources and Uses'!$C$15,0)</f>
        <v/>
      </c>
      <c r="AR36" s="134">
        <f>IF(AR$2=Assumptions!$C$50,-'Sources and Uses'!$C$15,0)</f>
        <v/>
      </c>
      <c r="AS36" s="134">
        <f>IF(AS$2=Assumptions!$C$50,-'Sources and Uses'!$C$15,0)</f>
        <v/>
      </c>
      <c r="AT36" s="134">
        <f>IF(AT$2=Assumptions!$C$50,-'Sources and Uses'!$C$15,0)</f>
        <v/>
      </c>
      <c r="AU36" s="134">
        <f>IF(AU$2=Assumptions!$C$50,-'Sources and Uses'!$C$15,0)</f>
        <v/>
      </c>
      <c r="AV36" s="134">
        <f>IF(AV$2=Assumptions!$C$50,-'Sources and Uses'!$C$15,0)</f>
        <v/>
      </c>
      <c r="AW36" s="134">
        <f>IF(AW$2=Assumptions!$C$50,-'Sources and Uses'!$C$15,0)</f>
        <v/>
      </c>
      <c r="AX36" s="134">
        <f>IF(AX$2=Assumptions!$C$50,-'Sources and Uses'!$C$15,0)</f>
        <v/>
      </c>
      <c r="AY36" s="134">
        <f>IF(AY$2=Assumptions!$C$50,-'Sources and Uses'!$C$15,0)</f>
        <v/>
      </c>
      <c r="AZ36" s="134">
        <f>IF(AZ$2=Assumptions!$C$50,-'Sources and Uses'!$C$15,0)</f>
        <v/>
      </c>
      <c r="BA36" s="134">
        <f>IF(BA$2=Assumptions!$C$50,-'Sources and Uses'!$C$15,0)</f>
        <v/>
      </c>
      <c r="BB36" s="134">
        <f>IF(BB$2=Assumptions!$C$50,-'Sources and Uses'!$C$15,0)</f>
        <v/>
      </c>
      <c r="BC36" s="134">
        <f>IF(BC$2=Assumptions!$C$50,-'Sources and Uses'!$C$15,0)</f>
        <v/>
      </c>
      <c r="BD36" s="134">
        <f>IF(BD$2=Assumptions!$C$50,-'Sources and Uses'!$C$15,0)</f>
        <v/>
      </c>
      <c r="BE36" s="134">
        <f>IF(BE$2=Assumptions!$C$50,-'Sources and Uses'!$C$15,0)</f>
        <v/>
      </c>
      <c r="BF36" s="134">
        <f>IF(BF$2=Assumptions!$C$50,-'Sources and Uses'!$C$15,0)</f>
        <v/>
      </c>
      <c r="BG36" s="134">
        <f>IF(BG$2=Assumptions!$C$50,-'Sources and Uses'!$C$15,0)</f>
        <v/>
      </c>
      <c r="BH36" s="134">
        <f>IF(BH$2=Assumptions!$C$50,-'Sources and Uses'!$C$15,0)</f>
        <v/>
      </c>
      <c r="BI36" s="134">
        <f>IF(BI$2=Assumptions!$C$50,-'Sources and Uses'!$C$15,0)</f>
        <v/>
      </c>
      <c r="BJ36" s="134">
        <f>IF(BJ$2=Assumptions!$C$50,-'Sources and Uses'!$C$15,0)</f>
        <v/>
      </c>
      <c r="BK36" s="134">
        <f>IF(BK$2=Assumptions!$C$50,-'Sources and Uses'!$C$15,0)</f>
        <v/>
      </c>
    </row>
    <row r="37"/>
    <row r="38">
      <c r="B38" s="136" t="inlineStr">
        <is>
          <t>LEVERED CASH FLOW</t>
        </is>
      </c>
      <c r="C38" s="137">
        <f>C30+C33+C34+C35+C36</f>
        <v/>
      </c>
      <c r="D38" s="137">
        <f>D30+D33+D34+D35+D36</f>
        <v/>
      </c>
      <c r="E38" s="137">
        <f>E30+E33+E34+E35+E36</f>
        <v/>
      </c>
      <c r="F38" s="137">
        <f>F30+F33+F34+F35+F36</f>
        <v/>
      </c>
      <c r="G38" s="137">
        <f>G30+G33+G34+G35+G36</f>
        <v/>
      </c>
      <c r="H38" s="137">
        <f>H30+H33+H34+H35+H36</f>
        <v/>
      </c>
      <c r="I38" s="137">
        <f>I30+I33+I34+I35+I36</f>
        <v/>
      </c>
      <c r="J38" s="137">
        <f>J30+J33+J34+J35+J36</f>
        <v/>
      </c>
      <c r="K38" s="137">
        <f>K30+K33+K34+K35+K36</f>
        <v/>
      </c>
      <c r="L38" s="137">
        <f>L30+L33+L34+L35+L36</f>
        <v/>
      </c>
      <c r="M38" s="137">
        <f>M30+M33+M34+M35+M36</f>
        <v/>
      </c>
      <c r="N38" s="137">
        <f>N30+N33+N34+N35+N36</f>
        <v/>
      </c>
      <c r="O38" s="137">
        <f>O30+O33+O34+O35+O36</f>
        <v/>
      </c>
      <c r="P38" s="137">
        <f>P30+P33+P34+P35+P36</f>
        <v/>
      </c>
      <c r="Q38" s="137">
        <f>Q30+Q33+Q34+Q35+Q36</f>
        <v/>
      </c>
      <c r="R38" s="137">
        <f>R30+R33+R34+R35+R36</f>
        <v/>
      </c>
      <c r="S38" s="137">
        <f>S30+S33+S34+S35+S36</f>
        <v/>
      </c>
      <c r="T38" s="137">
        <f>T30+T33+T34+T35+T36</f>
        <v/>
      </c>
      <c r="U38" s="137">
        <f>U30+U33+U34+U35+U36</f>
        <v/>
      </c>
      <c r="V38" s="137">
        <f>V30+V33+V34+V35+V36</f>
        <v/>
      </c>
      <c r="W38" s="137">
        <f>W30+W33+W34+W35+W36</f>
        <v/>
      </c>
      <c r="X38" s="137">
        <f>X30+X33+X34+X35+X36</f>
        <v/>
      </c>
      <c r="Y38" s="137">
        <f>Y30+Y33+Y34+Y35+Y36</f>
        <v/>
      </c>
      <c r="Z38" s="137">
        <f>Z30+Z33+Z34+Z35+Z36</f>
        <v/>
      </c>
      <c r="AA38" s="137">
        <f>AA30+AA33+AA34+AA35+AA36</f>
        <v/>
      </c>
      <c r="AB38" s="137">
        <f>AB30+AB33+AB34+AB35+AB36</f>
        <v/>
      </c>
      <c r="AC38" s="137">
        <f>AC30+AC33+AC34+AC35+AC36</f>
        <v/>
      </c>
      <c r="AD38" s="137">
        <f>AD30+AD33+AD34+AD35+AD36</f>
        <v/>
      </c>
      <c r="AE38" s="137">
        <f>AE30+AE33+AE34+AE35+AE36</f>
        <v/>
      </c>
      <c r="AF38" s="137">
        <f>AF30+AF33+AF34+AF35+AF36</f>
        <v/>
      </c>
      <c r="AG38" s="137">
        <f>AG30+AG33+AG34+AG35+AG36</f>
        <v/>
      </c>
      <c r="AH38" s="137">
        <f>AH30+AH33+AH34+AH35+AH36</f>
        <v/>
      </c>
      <c r="AI38" s="137">
        <f>AI30+AI33+AI34+AI35+AI36</f>
        <v/>
      </c>
      <c r="AJ38" s="137">
        <f>AJ30+AJ33+AJ34+AJ35+AJ36</f>
        <v/>
      </c>
      <c r="AK38" s="137">
        <f>AK30+AK33+AK34+AK35+AK36</f>
        <v/>
      </c>
      <c r="AL38" s="137">
        <f>AL30+AL33+AL34+AL35+AL36</f>
        <v/>
      </c>
      <c r="AM38" s="137">
        <f>AM30+AM33+AM34+AM35+AM36</f>
        <v/>
      </c>
      <c r="AN38" s="137">
        <f>AN30+AN33+AN34+AN35+AN36</f>
        <v/>
      </c>
      <c r="AO38" s="137">
        <f>AO30+AO33+AO34+AO35+AO36</f>
        <v/>
      </c>
      <c r="AP38" s="137">
        <f>AP30+AP33+AP34+AP35+AP36</f>
        <v/>
      </c>
      <c r="AQ38" s="137">
        <f>AQ30+AQ33+AQ34+AQ35+AQ36</f>
        <v/>
      </c>
      <c r="AR38" s="137">
        <f>AR30+AR33+AR34+AR35+AR36</f>
        <v/>
      </c>
      <c r="AS38" s="137">
        <f>AS30+AS33+AS34+AS35+AS36</f>
        <v/>
      </c>
      <c r="AT38" s="137">
        <f>AT30+AT33+AT34+AT35+AT36</f>
        <v/>
      </c>
      <c r="AU38" s="137">
        <f>AU30+AU33+AU34+AU35+AU36</f>
        <v/>
      </c>
      <c r="AV38" s="137">
        <f>AV30+AV33+AV34+AV35+AV36</f>
        <v/>
      </c>
      <c r="AW38" s="137">
        <f>AW30+AW33+AW34+AW35+AW36</f>
        <v/>
      </c>
      <c r="AX38" s="137">
        <f>AX30+AX33+AX34+AX35+AX36</f>
        <v/>
      </c>
      <c r="AY38" s="137">
        <f>AY30+AY33+AY34+AY35+AY36</f>
        <v/>
      </c>
      <c r="AZ38" s="137">
        <f>AZ30+AZ33+AZ34+AZ35+AZ36</f>
        <v/>
      </c>
      <c r="BA38" s="137">
        <f>BA30+BA33+BA34+BA35+BA36</f>
        <v/>
      </c>
      <c r="BB38" s="137">
        <f>BB30+BB33+BB34+BB35+BB36</f>
        <v/>
      </c>
      <c r="BC38" s="137">
        <f>BC30+BC33+BC34+BC35+BC36</f>
        <v/>
      </c>
      <c r="BD38" s="137">
        <f>BD30+BD33+BD34+BD35+BD36</f>
        <v/>
      </c>
      <c r="BE38" s="137">
        <f>BE30+BE33+BE34+BE35+BE36</f>
        <v/>
      </c>
      <c r="BF38" s="137">
        <f>BF30+BF33+BF34+BF35+BF36</f>
        <v/>
      </c>
      <c r="BG38" s="137">
        <f>BG30+BG33+BG34+BG35+BG36</f>
        <v/>
      </c>
      <c r="BH38" s="137">
        <f>BH30+BH33+BH34+BH35+BH36</f>
        <v/>
      </c>
      <c r="BI38" s="137">
        <f>BI30+BI33+BI34+BI35+BI36</f>
        <v/>
      </c>
      <c r="BJ38" s="137">
        <f>BJ30+BJ33+BJ34+BJ35+BJ36</f>
        <v/>
      </c>
      <c r="BK38" s="137">
        <f>BK30+BK33+BK34+BK35+BK36</f>
        <v/>
      </c>
      <c r="BL38" s="136" t="n"/>
    </row>
    <row r="39"/>
    <row r="40">
      <c r="B40" s="58" t="inlineStr">
        <is>
          <t>Cumulative levered cash flow</t>
        </is>
      </c>
      <c r="C40" s="138">
        <f>C38</f>
        <v/>
      </c>
      <c r="D40" s="138">
        <f>C40+D38</f>
        <v/>
      </c>
      <c r="E40" s="138">
        <f>D40+E38</f>
        <v/>
      </c>
      <c r="F40" s="138">
        <f>E40+F38</f>
        <v/>
      </c>
      <c r="G40" s="138">
        <f>F40+G38</f>
        <v/>
      </c>
      <c r="H40" s="138">
        <f>G40+H38</f>
        <v/>
      </c>
      <c r="I40" s="138">
        <f>H40+I38</f>
        <v/>
      </c>
      <c r="J40" s="138">
        <f>I40+J38</f>
        <v/>
      </c>
      <c r="K40" s="138">
        <f>J40+K38</f>
        <v/>
      </c>
      <c r="L40" s="138">
        <f>K40+L38</f>
        <v/>
      </c>
      <c r="M40" s="138">
        <f>L40+M38</f>
        <v/>
      </c>
      <c r="N40" s="138">
        <f>M40+N38</f>
        <v/>
      </c>
      <c r="O40" s="138">
        <f>N40+O38</f>
        <v/>
      </c>
      <c r="P40" s="138">
        <f>O40+P38</f>
        <v/>
      </c>
      <c r="Q40" s="138">
        <f>P40+Q38</f>
        <v/>
      </c>
      <c r="R40" s="138">
        <f>Q40+R38</f>
        <v/>
      </c>
      <c r="S40" s="138">
        <f>R40+S38</f>
        <v/>
      </c>
      <c r="T40" s="138">
        <f>S40+T38</f>
        <v/>
      </c>
      <c r="U40" s="138">
        <f>T40+U38</f>
        <v/>
      </c>
      <c r="V40" s="138">
        <f>U40+V38</f>
        <v/>
      </c>
      <c r="W40" s="138">
        <f>V40+W38</f>
        <v/>
      </c>
      <c r="X40" s="138">
        <f>W40+X38</f>
        <v/>
      </c>
      <c r="Y40" s="138">
        <f>X40+Y38</f>
        <v/>
      </c>
      <c r="Z40" s="138">
        <f>Y40+Z38</f>
        <v/>
      </c>
      <c r="AA40" s="138">
        <f>Z40+AA38</f>
        <v/>
      </c>
      <c r="AB40" s="138">
        <f>AA40+AB38</f>
        <v/>
      </c>
      <c r="AC40" s="138">
        <f>AB40+AC38</f>
        <v/>
      </c>
      <c r="AD40" s="138">
        <f>AC40+AD38</f>
        <v/>
      </c>
      <c r="AE40" s="138">
        <f>AD40+AE38</f>
        <v/>
      </c>
      <c r="AF40" s="138">
        <f>AE40+AF38</f>
        <v/>
      </c>
      <c r="AG40" s="138">
        <f>AF40+AG38</f>
        <v/>
      </c>
      <c r="AH40" s="138">
        <f>AG40+AH38</f>
        <v/>
      </c>
      <c r="AI40" s="138">
        <f>AH40+AI38</f>
        <v/>
      </c>
      <c r="AJ40" s="138">
        <f>AI40+AJ38</f>
        <v/>
      </c>
      <c r="AK40" s="138">
        <f>AJ40+AK38</f>
        <v/>
      </c>
      <c r="AL40" s="138">
        <f>AK40+AL38</f>
        <v/>
      </c>
      <c r="AM40" s="138">
        <f>AL40+AM38</f>
        <v/>
      </c>
      <c r="AN40" s="138">
        <f>AM40+AN38</f>
        <v/>
      </c>
      <c r="AO40" s="138">
        <f>AN40+AO38</f>
        <v/>
      </c>
      <c r="AP40" s="138">
        <f>AO40+AP38</f>
        <v/>
      </c>
      <c r="AQ40" s="138">
        <f>AP40+AQ38</f>
        <v/>
      </c>
      <c r="AR40" s="138">
        <f>AQ40+AR38</f>
        <v/>
      </c>
      <c r="AS40" s="138">
        <f>AR40+AS38</f>
        <v/>
      </c>
      <c r="AT40" s="138">
        <f>AS40+AT38</f>
        <v/>
      </c>
      <c r="AU40" s="138">
        <f>AT40+AU38</f>
        <v/>
      </c>
      <c r="AV40" s="138">
        <f>AU40+AV38</f>
        <v/>
      </c>
      <c r="AW40" s="138">
        <f>AV40+AW38</f>
        <v/>
      </c>
      <c r="AX40" s="138">
        <f>AW40+AX38</f>
        <v/>
      </c>
      <c r="AY40" s="138">
        <f>AX40+AY38</f>
        <v/>
      </c>
      <c r="AZ40" s="138">
        <f>AY40+AZ38</f>
        <v/>
      </c>
      <c r="BA40" s="138">
        <f>AZ40+BA38</f>
        <v/>
      </c>
      <c r="BB40" s="138">
        <f>BA40+BB38</f>
        <v/>
      </c>
      <c r="BC40" s="138">
        <f>BB40+BC38</f>
        <v/>
      </c>
      <c r="BD40" s="138">
        <f>BC40+BD38</f>
        <v/>
      </c>
      <c r="BE40" s="138">
        <f>BD40+BE38</f>
        <v/>
      </c>
      <c r="BF40" s="138">
        <f>BE40+BF38</f>
        <v/>
      </c>
      <c r="BG40" s="138">
        <f>BF40+BG38</f>
        <v/>
      </c>
      <c r="BH40" s="138">
        <f>BG40+BH38</f>
        <v/>
      </c>
      <c r="BI40" s="138">
        <f>BH40+BI38</f>
        <v/>
      </c>
      <c r="BJ40" s="138">
        <f>BI40+BJ38</f>
        <v/>
      </c>
      <c r="BK40" s="138">
        <f>BJ40+BK38</f>
        <v/>
      </c>
      <c r="BL40" s="58" t="n"/>
    </row>
    <row r="41">
      <c r="C41" s="58" t="inlineStr">
        <is>
          <t>Month 0 = closing (Sep 2027). Month 61 (column BL) holds NOI only, used to price the exit.</t>
        </is>
      </c>
    </row>
  </sheetData>
  <pageMargins left="0.75" right="0.75" top="1" bottom="1" header="0.511811023622047" footer="0.511811023622047"/>
  <pageSetup orientation="landscape" paperSize="9" fitToHeight="0" fitToWidth="5" horizontalDpi="300" verticalDpi="300"/>
</worksheet>
</file>

<file path=xl/worksheets/sheet6.xml><?xml version="1.0" encoding="utf-8"?>
<worksheet xmlns="http://schemas.openxmlformats.org/spreadsheetml/2006/main">
  <sheetPr>
    <tabColor rgb="001F3A32"/>
    <outlinePr summaryBelow="1" summaryRight="1"/>
    <pageSetUpPr fitToPage="1"/>
  </sheetPr>
  <dimension ref="A1:I25"/>
  <sheetViews>
    <sheetView showGridLines="0" tabSelected="0" zoomScale="100" zoomScaleNormal="10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10" defaultColWidth="8.5" defaultRowHeight="16"/>
  <cols>
    <col width="2" customWidth="1" min="1" max="1"/>
    <col width="34" customWidth="1" min="2" max="2"/>
    <col width="15" customWidth="1" min="3" max="9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 ht="28" customHeight="1">
      <c r="B1" s="56" t="inlineStr">
        <is>
          <t>Annual Summary</t>
        </is>
      </c>
      <c r="C1" s="57" t="n"/>
      <c r="D1" s="57" t="n"/>
      <c r="E1" s="57" t="n"/>
      <c r="F1" s="57" t="n"/>
      <c r="G1" s="57" t="n"/>
      <c r="H1" s="57" t="n"/>
      <c r="I1" s="57" t="n"/>
    </row>
    <row r="2">
      <c r="B2" s="77" t="inlineStr">
        <is>
          <t>PERIOD</t>
        </is>
      </c>
      <c r="C2" s="78" t="inlineStr">
        <is>
          <t>CLOSING</t>
        </is>
      </c>
      <c r="D2" s="78" t="inlineStr">
        <is>
          <t>YEAR 1</t>
        </is>
      </c>
      <c r="E2" s="78" t="inlineStr">
        <is>
          <t>YEAR 2</t>
        </is>
      </c>
      <c r="F2" s="78" t="inlineStr">
        <is>
          <t>YEAR 3</t>
        </is>
      </c>
      <c r="G2" s="78" t="inlineStr">
        <is>
          <t>YEAR 4</t>
        </is>
      </c>
      <c r="H2" s="78" t="inlineStr">
        <is>
          <t>YEAR 5</t>
        </is>
      </c>
      <c r="I2" s="78" t="inlineStr">
        <is>
          <t>TOTAL</t>
        </is>
      </c>
    </row>
    <row r="3">
      <c r="B3" s="128" t="inlineStr">
        <is>
          <t>Start month</t>
        </is>
      </c>
      <c r="C3" s="139" t="n"/>
      <c r="D3" s="139">
        <f>12*0+1</f>
        <v/>
      </c>
      <c r="E3" s="139">
        <f>12*1+1</f>
        <v/>
      </c>
      <c r="F3" s="139">
        <f>12*2+1</f>
        <v/>
      </c>
      <c r="G3" s="139">
        <f>12*3+1</f>
        <v/>
      </c>
      <c r="H3" s="139">
        <f>12*4+1</f>
        <v/>
      </c>
      <c r="I3" s="139" t="n"/>
    </row>
    <row r="4">
      <c r="B4" s="128" t="inlineStr">
        <is>
          <t>End month</t>
        </is>
      </c>
      <c r="C4" s="139" t="n"/>
      <c r="D4" s="139">
        <f>12*1</f>
        <v/>
      </c>
      <c r="E4" s="139">
        <f>12*2</f>
        <v/>
      </c>
      <c r="F4" s="139">
        <f>12*3</f>
        <v/>
      </c>
      <c r="G4" s="139">
        <f>12*4</f>
        <v/>
      </c>
      <c r="H4" s="139">
        <f>12*5</f>
        <v/>
      </c>
      <c r="I4" s="139" t="n"/>
    </row>
    <row r="5"/>
    <row r="6">
      <c r="B6" s="60" t="inlineStr">
        <is>
          <t>Base rent</t>
        </is>
      </c>
      <c r="C6" s="140" t="n">
        <v>0</v>
      </c>
      <c r="D6" s="140">
        <f>SUMPRODUCT(('Cash Flow'!$D$2:$BK$2&gt;=D$3)*('Cash Flow'!$D$2:$BK$2&lt;=D$4)*'Cash Flow'!$D$7:$BK$7)</f>
        <v/>
      </c>
      <c r="E6" s="140">
        <f>SUMPRODUCT(('Cash Flow'!$D$2:$BK$2&gt;=E$3)*('Cash Flow'!$D$2:$BK$2&lt;=E$4)*'Cash Flow'!$D$7:$BK$7)</f>
        <v/>
      </c>
      <c r="F6" s="140">
        <f>SUMPRODUCT(('Cash Flow'!$D$2:$BK$2&gt;=F$3)*('Cash Flow'!$D$2:$BK$2&lt;=F$4)*'Cash Flow'!$D$7:$BK$7)</f>
        <v/>
      </c>
      <c r="G6" s="140">
        <f>SUMPRODUCT(('Cash Flow'!$D$2:$BK$2&gt;=G$3)*('Cash Flow'!$D$2:$BK$2&lt;=G$4)*'Cash Flow'!$D$7:$BK$7)</f>
        <v/>
      </c>
      <c r="H6" s="140">
        <f>SUMPRODUCT(('Cash Flow'!$D$2:$BK$2&gt;=H$3)*('Cash Flow'!$D$2:$BK$2&lt;=H$4)*'Cash Flow'!$D$7:$BK$7)</f>
        <v/>
      </c>
      <c r="I6" s="141">
        <f>SUM(C6:H6)</f>
        <v/>
      </c>
    </row>
    <row r="7">
      <c r="B7" s="60" t="inlineStr">
        <is>
          <t>Expense reimbursements</t>
        </is>
      </c>
      <c r="C7" s="140" t="n">
        <v>0</v>
      </c>
      <c r="D7" s="140">
        <f>SUMPRODUCT(('Cash Flow'!$D$2:$BK$2&gt;=D$3)*('Cash Flow'!$D$2:$BK$2&lt;=D$4)*'Cash Flow'!$D$8:$BK$8)</f>
        <v/>
      </c>
      <c r="E7" s="140">
        <f>SUMPRODUCT(('Cash Flow'!$D$2:$BK$2&gt;=E$3)*('Cash Flow'!$D$2:$BK$2&lt;=E$4)*'Cash Flow'!$D$8:$BK$8)</f>
        <v/>
      </c>
      <c r="F7" s="140">
        <f>SUMPRODUCT(('Cash Flow'!$D$2:$BK$2&gt;=F$3)*('Cash Flow'!$D$2:$BK$2&lt;=F$4)*'Cash Flow'!$D$8:$BK$8)</f>
        <v/>
      </c>
      <c r="G7" s="140">
        <f>SUMPRODUCT(('Cash Flow'!$D$2:$BK$2&gt;=G$3)*('Cash Flow'!$D$2:$BK$2&lt;=G$4)*'Cash Flow'!$D$8:$BK$8)</f>
        <v/>
      </c>
      <c r="H7" s="140">
        <f>SUMPRODUCT(('Cash Flow'!$D$2:$BK$2&gt;=H$3)*('Cash Flow'!$D$2:$BK$2&lt;=H$4)*'Cash Flow'!$D$8:$BK$8)</f>
        <v/>
      </c>
      <c r="I7" s="141">
        <f>SUM(C7:H7)</f>
        <v/>
      </c>
    </row>
    <row r="8">
      <c r="B8" s="60" t="inlineStr">
        <is>
          <t>Vacancy and credit loss</t>
        </is>
      </c>
      <c r="C8" s="140" t="n">
        <v>0</v>
      </c>
      <c r="D8" s="140">
        <f>SUMPRODUCT(('Cash Flow'!$D$2:$BK$2&gt;=D$3)*('Cash Flow'!$D$2:$BK$2&lt;=D$4)*'Cash Flow'!$D$9:$BK$9)</f>
        <v/>
      </c>
      <c r="E8" s="140">
        <f>SUMPRODUCT(('Cash Flow'!$D$2:$BK$2&gt;=E$3)*('Cash Flow'!$D$2:$BK$2&lt;=E$4)*'Cash Flow'!$D$9:$BK$9)</f>
        <v/>
      </c>
      <c r="F8" s="140">
        <f>SUMPRODUCT(('Cash Flow'!$D$2:$BK$2&gt;=F$3)*('Cash Flow'!$D$2:$BK$2&lt;=F$4)*'Cash Flow'!$D$9:$BK$9)</f>
        <v/>
      </c>
      <c r="G8" s="140">
        <f>SUMPRODUCT(('Cash Flow'!$D$2:$BK$2&gt;=G$3)*('Cash Flow'!$D$2:$BK$2&lt;=G$4)*'Cash Flow'!$D$9:$BK$9)</f>
        <v/>
      </c>
      <c r="H8" s="140">
        <f>SUMPRODUCT(('Cash Flow'!$D$2:$BK$2&gt;=H$3)*('Cash Flow'!$D$2:$BK$2&lt;=H$4)*'Cash Flow'!$D$9:$BK$9)</f>
        <v/>
      </c>
      <c r="I8" s="141">
        <f>SUM(C8:H8)</f>
        <v/>
      </c>
    </row>
    <row r="9">
      <c r="B9" s="117" t="inlineStr">
        <is>
          <t>EFFECTIVE GROSS INCOME</t>
        </is>
      </c>
      <c r="C9" s="135" t="n">
        <v>0</v>
      </c>
      <c r="D9" s="135">
        <f>SUMPRODUCT(('Cash Flow'!$D$2:$BK$2&gt;=D$3)*('Cash Flow'!$D$2:$BK$2&lt;=D$4)*'Cash Flow'!$D$10:$BK$10)</f>
        <v/>
      </c>
      <c r="E9" s="135">
        <f>SUMPRODUCT(('Cash Flow'!$D$2:$BK$2&gt;=E$3)*('Cash Flow'!$D$2:$BK$2&lt;=E$4)*'Cash Flow'!$D$10:$BK$10)</f>
        <v/>
      </c>
      <c r="F9" s="135">
        <f>SUMPRODUCT(('Cash Flow'!$D$2:$BK$2&gt;=F$3)*('Cash Flow'!$D$2:$BK$2&lt;=F$4)*'Cash Flow'!$D$10:$BK$10)</f>
        <v/>
      </c>
      <c r="G9" s="135">
        <f>SUMPRODUCT(('Cash Flow'!$D$2:$BK$2&gt;=G$3)*('Cash Flow'!$D$2:$BK$2&lt;=G$4)*'Cash Flow'!$D$10:$BK$10)</f>
        <v/>
      </c>
      <c r="H9" s="135">
        <f>SUMPRODUCT(('Cash Flow'!$D$2:$BK$2&gt;=H$3)*('Cash Flow'!$D$2:$BK$2&lt;=H$4)*'Cash Flow'!$D$10:$BK$10)</f>
        <v/>
      </c>
      <c r="I9" s="135">
        <f>SUM(C9:H9)</f>
        <v/>
      </c>
    </row>
    <row r="10">
      <c r="B10" s="60" t="inlineStr">
        <is>
          <t>Operating expenses</t>
        </is>
      </c>
      <c r="C10" s="140" t="n">
        <v>0</v>
      </c>
      <c r="D10" s="140">
        <f>SUMPRODUCT(('Cash Flow'!$D$2:$BK$2&gt;=D$3)*('Cash Flow'!$D$2:$BK$2&lt;=D$4)*'Cash Flow'!$D$13:$BK$13)</f>
        <v/>
      </c>
      <c r="E10" s="140">
        <f>SUMPRODUCT(('Cash Flow'!$D$2:$BK$2&gt;=E$3)*('Cash Flow'!$D$2:$BK$2&lt;=E$4)*'Cash Flow'!$D$13:$BK$13)</f>
        <v/>
      </c>
      <c r="F10" s="140">
        <f>SUMPRODUCT(('Cash Flow'!$D$2:$BK$2&gt;=F$3)*('Cash Flow'!$D$2:$BK$2&lt;=F$4)*'Cash Flow'!$D$13:$BK$13)</f>
        <v/>
      </c>
      <c r="G10" s="140">
        <f>SUMPRODUCT(('Cash Flow'!$D$2:$BK$2&gt;=G$3)*('Cash Flow'!$D$2:$BK$2&lt;=G$4)*'Cash Flow'!$D$13:$BK$13)</f>
        <v/>
      </c>
      <c r="H10" s="140">
        <f>SUMPRODUCT(('Cash Flow'!$D$2:$BK$2&gt;=H$3)*('Cash Flow'!$D$2:$BK$2&lt;=H$4)*'Cash Flow'!$D$13:$BK$13)</f>
        <v/>
      </c>
      <c r="I10" s="141">
        <f>SUM(C10:H10)</f>
        <v/>
      </c>
    </row>
    <row r="11">
      <c r="B11" s="60" t="inlineStr">
        <is>
          <t>Management fee</t>
        </is>
      </c>
      <c r="C11" s="140" t="n">
        <v>0</v>
      </c>
      <c r="D11" s="140">
        <f>SUMPRODUCT(('Cash Flow'!$D$2:$BK$2&gt;=D$3)*('Cash Flow'!$D$2:$BK$2&lt;=D$4)*'Cash Flow'!$D$14:$BK$14)</f>
        <v/>
      </c>
      <c r="E11" s="140">
        <f>SUMPRODUCT(('Cash Flow'!$D$2:$BK$2&gt;=E$3)*('Cash Flow'!$D$2:$BK$2&lt;=E$4)*'Cash Flow'!$D$14:$BK$14)</f>
        <v/>
      </c>
      <c r="F11" s="140">
        <f>SUMPRODUCT(('Cash Flow'!$D$2:$BK$2&gt;=F$3)*('Cash Flow'!$D$2:$BK$2&lt;=F$4)*'Cash Flow'!$D$14:$BK$14)</f>
        <v/>
      </c>
      <c r="G11" s="140">
        <f>SUMPRODUCT(('Cash Flow'!$D$2:$BK$2&gt;=G$3)*('Cash Flow'!$D$2:$BK$2&lt;=G$4)*'Cash Flow'!$D$14:$BK$14)</f>
        <v/>
      </c>
      <c r="H11" s="140">
        <f>SUMPRODUCT(('Cash Flow'!$D$2:$BK$2&gt;=H$3)*('Cash Flow'!$D$2:$BK$2&lt;=H$4)*'Cash Flow'!$D$14:$BK$14)</f>
        <v/>
      </c>
      <c r="I11" s="141">
        <f>SUM(C11:H11)</f>
        <v/>
      </c>
    </row>
    <row r="12">
      <c r="B12" s="136" t="inlineStr">
        <is>
          <t>NET OPERATING INCOME</t>
        </is>
      </c>
      <c r="C12" s="137" t="n">
        <v>0</v>
      </c>
      <c r="D12" s="137">
        <f>SUMPRODUCT(('Cash Flow'!$D$2:$BK$2&gt;=D$3)*('Cash Flow'!$D$2:$BK$2&lt;=D$4)*'Cash Flow'!$D$17:$BK$17)</f>
        <v/>
      </c>
      <c r="E12" s="137">
        <f>SUMPRODUCT(('Cash Flow'!$D$2:$BK$2&gt;=E$3)*('Cash Flow'!$D$2:$BK$2&lt;=E$4)*'Cash Flow'!$D$17:$BK$17)</f>
        <v/>
      </c>
      <c r="F12" s="137">
        <f>SUMPRODUCT(('Cash Flow'!$D$2:$BK$2&gt;=F$3)*('Cash Flow'!$D$2:$BK$2&lt;=F$4)*'Cash Flow'!$D$17:$BK$17)</f>
        <v/>
      </c>
      <c r="G12" s="137">
        <f>SUMPRODUCT(('Cash Flow'!$D$2:$BK$2&gt;=G$3)*('Cash Flow'!$D$2:$BK$2&lt;=G$4)*'Cash Flow'!$D$17:$BK$17)</f>
        <v/>
      </c>
      <c r="H12" s="137">
        <f>SUMPRODUCT(('Cash Flow'!$D$2:$BK$2&gt;=H$3)*('Cash Flow'!$D$2:$BK$2&lt;=H$4)*'Cash Flow'!$D$17:$BK$17)</f>
        <v/>
      </c>
      <c r="I12" s="137">
        <f>SUM(C12:H12)</f>
        <v/>
      </c>
    </row>
    <row r="13">
      <c r="I13" s="76" t="n"/>
    </row>
    <row r="14">
      <c r="B14" s="60" t="inlineStr">
        <is>
          <t>Capital costs</t>
        </is>
      </c>
      <c r="C14" s="140" t="n">
        <v>0</v>
      </c>
      <c r="D14" s="140">
        <f>SUMPRODUCT(('Cash Flow'!$D$2:$BK$2&gt;=D$3)*('Cash Flow'!$D$2:$BK$2&lt;=D$4)*'Cash Flow'!$D$24:$BK$24)</f>
        <v/>
      </c>
      <c r="E14" s="140">
        <f>SUMPRODUCT(('Cash Flow'!$D$2:$BK$2&gt;=E$3)*('Cash Flow'!$D$2:$BK$2&lt;=E$4)*'Cash Flow'!$D$24:$BK$24)</f>
        <v/>
      </c>
      <c r="F14" s="140">
        <f>SUMPRODUCT(('Cash Flow'!$D$2:$BK$2&gt;=F$3)*('Cash Flow'!$D$2:$BK$2&lt;=F$4)*'Cash Flow'!$D$24:$BK$24)</f>
        <v/>
      </c>
      <c r="G14" s="140">
        <f>SUMPRODUCT(('Cash Flow'!$D$2:$BK$2&gt;=G$3)*('Cash Flow'!$D$2:$BK$2&lt;=G$4)*'Cash Flow'!$D$24:$BK$24)</f>
        <v/>
      </c>
      <c r="H14" s="140">
        <f>SUMPRODUCT(('Cash Flow'!$D$2:$BK$2&gt;=H$3)*('Cash Flow'!$D$2:$BK$2&lt;=H$4)*'Cash Flow'!$D$24:$BK$24)</f>
        <v/>
      </c>
      <c r="I14" s="141">
        <f>SUM(C14:H14)</f>
        <v/>
      </c>
    </row>
    <row r="15">
      <c r="B15" s="60" t="inlineStr">
        <is>
          <t>Purchase + closing</t>
        </is>
      </c>
      <c r="C15" s="140">
        <f>'Cash Flow'!C27</f>
        <v/>
      </c>
      <c r="D15" s="140">
        <f>SUMPRODUCT(('Cash Flow'!$D$2:$BK$2&gt;=D$3)*('Cash Flow'!$D$2:$BK$2&lt;=D$4)*'Cash Flow'!$D$27:$BK$27)</f>
        <v/>
      </c>
      <c r="E15" s="140">
        <f>SUMPRODUCT(('Cash Flow'!$D$2:$BK$2&gt;=E$3)*('Cash Flow'!$D$2:$BK$2&lt;=E$4)*'Cash Flow'!$D$27:$BK$27)</f>
        <v/>
      </c>
      <c r="F15" s="140">
        <f>SUMPRODUCT(('Cash Flow'!$D$2:$BK$2&gt;=F$3)*('Cash Flow'!$D$2:$BK$2&lt;=F$4)*'Cash Flow'!$D$27:$BK$27)</f>
        <v/>
      </c>
      <c r="G15" s="140">
        <f>SUMPRODUCT(('Cash Flow'!$D$2:$BK$2&gt;=G$3)*('Cash Flow'!$D$2:$BK$2&lt;=G$4)*'Cash Flow'!$D$27:$BK$27)</f>
        <v/>
      </c>
      <c r="H15" s="140">
        <f>SUMPRODUCT(('Cash Flow'!$D$2:$BK$2&gt;=H$3)*('Cash Flow'!$D$2:$BK$2&lt;=H$4)*'Cash Flow'!$D$27:$BK$27)</f>
        <v/>
      </c>
      <c r="I15" s="141">
        <f>SUM(C15:H15)</f>
        <v/>
      </c>
    </row>
    <row r="16">
      <c r="B16" s="60" t="inlineStr">
        <is>
          <t>Net sale proceeds</t>
        </is>
      </c>
      <c r="C16" s="140" t="n">
        <v>0</v>
      </c>
      <c r="D16" s="140">
        <f>SUMPRODUCT(('Cash Flow'!$D$2:$BK$2&gt;=D$3)*('Cash Flow'!$D$2:$BK$2&lt;=D$4)*'Cash Flow'!$D$28:$BK$28)</f>
        <v/>
      </c>
      <c r="E16" s="140">
        <f>SUMPRODUCT(('Cash Flow'!$D$2:$BK$2&gt;=E$3)*('Cash Flow'!$D$2:$BK$2&lt;=E$4)*'Cash Flow'!$D$28:$BK$28)</f>
        <v/>
      </c>
      <c r="F16" s="140">
        <f>SUMPRODUCT(('Cash Flow'!$D$2:$BK$2&gt;=F$3)*('Cash Flow'!$D$2:$BK$2&lt;=F$4)*'Cash Flow'!$D$28:$BK$28)</f>
        <v/>
      </c>
      <c r="G16" s="140">
        <f>SUMPRODUCT(('Cash Flow'!$D$2:$BK$2&gt;=G$3)*('Cash Flow'!$D$2:$BK$2&lt;=G$4)*'Cash Flow'!$D$28:$BK$28)</f>
        <v/>
      </c>
      <c r="H16" s="140">
        <f>SUMPRODUCT(('Cash Flow'!$D$2:$BK$2&gt;=H$3)*('Cash Flow'!$D$2:$BK$2&lt;=H$4)*'Cash Flow'!$D$28:$BK$28)</f>
        <v/>
      </c>
      <c r="I16" s="141">
        <f>SUM(C16:H16)</f>
        <v/>
      </c>
    </row>
    <row r="17">
      <c r="B17" s="136" t="inlineStr">
        <is>
          <t>UNLEVERED CASH FLOW</t>
        </is>
      </c>
      <c r="C17" s="137">
        <f>'Cash Flow'!C30</f>
        <v/>
      </c>
      <c r="D17" s="137">
        <f>SUMPRODUCT(('Cash Flow'!$D$2:$BK$2&gt;=D$3)*('Cash Flow'!$D$2:$BK$2&lt;=D$4)*'Cash Flow'!$D$30:$BK$30)</f>
        <v/>
      </c>
      <c r="E17" s="137">
        <f>SUMPRODUCT(('Cash Flow'!$D$2:$BK$2&gt;=E$3)*('Cash Flow'!$D$2:$BK$2&lt;=E$4)*'Cash Flow'!$D$30:$BK$30)</f>
        <v/>
      </c>
      <c r="F17" s="137">
        <f>SUMPRODUCT(('Cash Flow'!$D$2:$BK$2&gt;=F$3)*('Cash Flow'!$D$2:$BK$2&lt;=F$4)*'Cash Flow'!$D$30:$BK$30)</f>
        <v/>
      </c>
      <c r="G17" s="137">
        <f>SUMPRODUCT(('Cash Flow'!$D$2:$BK$2&gt;=G$3)*('Cash Flow'!$D$2:$BK$2&lt;=G$4)*'Cash Flow'!$D$30:$BK$30)</f>
        <v/>
      </c>
      <c r="H17" s="137">
        <f>SUMPRODUCT(('Cash Flow'!$D$2:$BK$2&gt;=H$3)*('Cash Flow'!$D$2:$BK$2&lt;=H$4)*'Cash Flow'!$D$30:$BK$30)</f>
        <v/>
      </c>
      <c r="I17" s="137">
        <f>SUM(C17:H17)</f>
        <v/>
      </c>
    </row>
    <row r="18">
      <c r="I18" s="76" t="n"/>
    </row>
    <row r="19">
      <c r="B19" s="60" t="inlineStr">
        <is>
          <t>Loan proceeds</t>
        </is>
      </c>
      <c r="C19" s="140">
        <f>'Cash Flow'!C33</f>
        <v/>
      </c>
      <c r="D19" s="140">
        <f>SUMPRODUCT(('Cash Flow'!$D$2:$BK$2&gt;=D$3)*('Cash Flow'!$D$2:$BK$2&lt;=D$4)*'Cash Flow'!$D$33:$BK$33)</f>
        <v/>
      </c>
      <c r="E19" s="140">
        <f>SUMPRODUCT(('Cash Flow'!$D$2:$BK$2&gt;=E$3)*('Cash Flow'!$D$2:$BK$2&lt;=E$4)*'Cash Flow'!$D$33:$BK$33)</f>
        <v/>
      </c>
      <c r="F19" s="140">
        <f>SUMPRODUCT(('Cash Flow'!$D$2:$BK$2&gt;=F$3)*('Cash Flow'!$D$2:$BK$2&lt;=F$4)*'Cash Flow'!$D$33:$BK$33)</f>
        <v/>
      </c>
      <c r="G19" s="140">
        <f>SUMPRODUCT(('Cash Flow'!$D$2:$BK$2&gt;=G$3)*('Cash Flow'!$D$2:$BK$2&lt;=G$4)*'Cash Flow'!$D$33:$BK$33)</f>
        <v/>
      </c>
      <c r="H19" s="140">
        <f>SUMPRODUCT(('Cash Flow'!$D$2:$BK$2&gt;=H$3)*('Cash Flow'!$D$2:$BK$2&lt;=H$4)*'Cash Flow'!$D$33:$BK$33)</f>
        <v/>
      </c>
      <c r="I19" s="141">
        <f>SUM(C19:H19)</f>
        <v/>
      </c>
    </row>
    <row r="20">
      <c r="B20" s="60" t="inlineStr">
        <is>
          <t>Loan fee</t>
        </is>
      </c>
      <c r="C20" s="140">
        <f>'Cash Flow'!C34</f>
        <v/>
      </c>
      <c r="D20" s="140">
        <f>SUMPRODUCT(('Cash Flow'!$D$2:$BK$2&gt;=D$3)*('Cash Flow'!$D$2:$BK$2&lt;=D$4)*'Cash Flow'!$D$34:$BK$34)</f>
        <v/>
      </c>
      <c r="E20" s="140">
        <f>SUMPRODUCT(('Cash Flow'!$D$2:$BK$2&gt;=E$3)*('Cash Flow'!$D$2:$BK$2&lt;=E$4)*'Cash Flow'!$D$34:$BK$34)</f>
        <v/>
      </c>
      <c r="F20" s="140">
        <f>SUMPRODUCT(('Cash Flow'!$D$2:$BK$2&gt;=F$3)*('Cash Flow'!$D$2:$BK$2&lt;=F$4)*'Cash Flow'!$D$34:$BK$34)</f>
        <v/>
      </c>
      <c r="G20" s="140">
        <f>SUMPRODUCT(('Cash Flow'!$D$2:$BK$2&gt;=G$3)*('Cash Flow'!$D$2:$BK$2&lt;=G$4)*'Cash Flow'!$D$34:$BK$34)</f>
        <v/>
      </c>
      <c r="H20" s="140">
        <f>SUMPRODUCT(('Cash Flow'!$D$2:$BK$2&gt;=H$3)*('Cash Flow'!$D$2:$BK$2&lt;=H$4)*'Cash Flow'!$D$34:$BK$34)</f>
        <v/>
      </c>
      <c r="I20" s="141">
        <f>SUM(C20:H20)</f>
        <v/>
      </c>
    </row>
    <row r="21">
      <c r="B21" s="60" t="inlineStr">
        <is>
          <t>Interest</t>
        </is>
      </c>
      <c r="C21" s="140" t="n">
        <v>0</v>
      </c>
      <c r="D21" s="140">
        <f>SUMPRODUCT(('Cash Flow'!$D$2:$BK$2&gt;=D$3)*('Cash Flow'!$D$2:$BK$2&lt;=D$4)*'Cash Flow'!$D$35:$BK$35)</f>
        <v/>
      </c>
      <c r="E21" s="140">
        <f>SUMPRODUCT(('Cash Flow'!$D$2:$BK$2&gt;=E$3)*('Cash Flow'!$D$2:$BK$2&lt;=E$4)*'Cash Flow'!$D$35:$BK$35)</f>
        <v/>
      </c>
      <c r="F21" s="140">
        <f>SUMPRODUCT(('Cash Flow'!$D$2:$BK$2&gt;=F$3)*('Cash Flow'!$D$2:$BK$2&lt;=F$4)*'Cash Flow'!$D$35:$BK$35)</f>
        <v/>
      </c>
      <c r="G21" s="140">
        <f>SUMPRODUCT(('Cash Flow'!$D$2:$BK$2&gt;=G$3)*('Cash Flow'!$D$2:$BK$2&lt;=G$4)*'Cash Flow'!$D$35:$BK$35)</f>
        <v/>
      </c>
      <c r="H21" s="140">
        <f>SUMPRODUCT(('Cash Flow'!$D$2:$BK$2&gt;=H$3)*('Cash Flow'!$D$2:$BK$2&lt;=H$4)*'Cash Flow'!$D$35:$BK$35)</f>
        <v/>
      </c>
      <c r="I21" s="141">
        <f>SUM(C21:H21)</f>
        <v/>
      </c>
    </row>
    <row r="22">
      <c r="B22" s="60" t="inlineStr">
        <is>
          <t>Loan repayment</t>
        </is>
      </c>
      <c r="C22" s="140" t="n">
        <v>0</v>
      </c>
      <c r="D22" s="140">
        <f>SUMPRODUCT(('Cash Flow'!$D$2:$BK$2&gt;=D$3)*('Cash Flow'!$D$2:$BK$2&lt;=D$4)*'Cash Flow'!$D$36:$BK$36)</f>
        <v/>
      </c>
      <c r="E22" s="140">
        <f>SUMPRODUCT(('Cash Flow'!$D$2:$BK$2&gt;=E$3)*('Cash Flow'!$D$2:$BK$2&lt;=E$4)*'Cash Flow'!$D$36:$BK$36)</f>
        <v/>
      </c>
      <c r="F22" s="140">
        <f>SUMPRODUCT(('Cash Flow'!$D$2:$BK$2&gt;=F$3)*('Cash Flow'!$D$2:$BK$2&lt;=F$4)*'Cash Flow'!$D$36:$BK$36)</f>
        <v/>
      </c>
      <c r="G22" s="140">
        <f>SUMPRODUCT(('Cash Flow'!$D$2:$BK$2&gt;=G$3)*('Cash Flow'!$D$2:$BK$2&lt;=G$4)*'Cash Flow'!$D$36:$BK$36)</f>
        <v/>
      </c>
      <c r="H22" s="140">
        <f>SUMPRODUCT(('Cash Flow'!$D$2:$BK$2&gt;=H$3)*('Cash Flow'!$D$2:$BK$2&lt;=H$4)*'Cash Flow'!$D$36:$BK$36)</f>
        <v/>
      </c>
      <c r="I22" s="141">
        <f>SUM(C22:H22)</f>
        <v/>
      </c>
    </row>
    <row r="23">
      <c r="B23" s="136" t="inlineStr">
        <is>
          <t>LEVERED CASH FLOW</t>
        </is>
      </c>
      <c r="C23" s="137">
        <f>'Cash Flow'!C38</f>
        <v/>
      </c>
      <c r="D23" s="137">
        <f>SUMPRODUCT(('Cash Flow'!$D$2:$BK$2&gt;=D$3)*('Cash Flow'!$D$2:$BK$2&lt;=D$4)*'Cash Flow'!$D$38:$BK$38)</f>
        <v/>
      </c>
      <c r="E23" s="137">
        <f>SUMPRODUCT(('Cash Flow'!$D$2:$BK$2&gt;=E$3)*('Cash Flow'!$D$2:$BK$2&lt;=E$4)*'Cash Flow'!$D$38:$BK$38)</f>
        <v/>
      </c>
      <c r="F23" s="137">
        <f>SUMPRODUCT(('Cash Flow'!$D$2:$BK$2&gt;=F$3)*('Cash Flow'!$D$2:$BK$2&lt;=F$4)*'Cash Flow'!$D$38:$BK$38)</f>
        <v/>
      </c>
      <c r="G23" s="137">
        <f>SUMPRODUCT(('Cash Flow'!$D$2:$BK$2&gt;=G$3)*('Cash Flow'!$D$2:$BK$2&lt;=G$4)*'Cash Flow'!$D$38:$BK$38)</f>
        <v/>
      </c>
      <c r="H23" s="137">
        <f>SUMPRODUCT(('Cash Flow'!$D$2:$BK$2&gt;=H$3)*('Cash Flow'!$D$2:$BK$2&lt;=H$4)*'Cash Flow'!$D$38:$BK$38)</f>
        <v/>
      </c>
      <c r="I23" s="137">
        <f>SUM(C23:H23)</f>
        <v/>
      </c>
    </row>
    <row r="24"/>
    <row r="25">
      <c r="B25" s="58" t="inlineStr">
        <is>
          <t>Check vs. monthly cash flow</t>
        </is>
      </c>
      <c r="I25" s="125">
        <f>I23-SUM('Cash Flow'!C38:BK38)</f>
        <v/>
      </c>
    </row>
  </sheetData>
  <pageMargins left="0.75" right="0.75" top="1" bottom="1" header="0.511811023622047" footer="0.511811023622047"/>
  <pageSetup orientation="landscape" paperSize="9" fitToHeight="0" fitToWidth="1" horizontalDpi="300" verticalDpi="300"/>
</worksheet>
</file>

<file path=xl/worksheets/sheet7.xml><?xml version="1.0" encoding="utf-8"?>
<worksheet xmlns="http://schemas.openxmlformats.org/spreadsheetml/2006/main">
  <sheetPr>
    <tabColor rgb="001F3A32"/>
    <outlinePr summaryBelow="1" summaryRight="1"/>
    <pageSetUpPr fitToPage="1"/>
  </sheetPr>
  <dimension ref="A1:D50"/>
  <sheetViews>
    <sheetView showGridLines="0" tabSelected="0" zoomScale="100" zoomScaleNormal="100" workbookViewId="0">
      <selection activeCell="A1" sqref="A1"/>
    </sheetView>
  </sheetViews>
  <sheetFormatPr baseColWidth="10" defaultColWidth="8.5" defaultRowHeight="16"/>
  <cols>
    <col width="2" customWidth="1" min="1" max="1"/>
    <col width="44" customWidth="1" min="2" max="2"/>
    <col width="18" customWidth="1" min="3" max="3"/>
    <col width="72" customWidth="1" min="4" max="4"/>
  </cols>
  <sheetData>
    <row r="1" ht="28" customHeight="1">
      <c r="B1" s="56" t="inlineStr">
        <is>
          <t>Returns Summary</t>
        </is>
      </c>
      <c r="C1" s="57" t="n"/>
      <c r="D1" s="57" t="n"/>
    </row>
    <row r="2"/>
    <row r="3"/>
    <row r="4">
      <c r="B4" s="59" t="inlineStr">
        <is>
          <t>DEAL BASIS</t>
        </is>
      </c>
      <c r="C4" s="59" t="n"/>
      <c r="D4" s="59" t="n"/>
    </row>
    <row r="5">
      <c r="B5" s="60" t="inlineStr">
        <is>
          <t>Purchase price</t>
        </is>
      </c>
      <c r="C5" s="142">
        <f>Assumptions!C8</f>
        <v/>
      </c>
      <c r="D5" s="82" t="inlineStr">
        <is>
          <t>LoopNet asking</t>
        </is>
      </c>
    </row>
    <row r="6">
      <c r="B6" s="60" t="inlineStr">
        <is>
          <t>Purchase price per SF</t>
        </is>
      </c>
      <c r="C6" s="143">
        <f>Assumptions!C9</f>
        <v/>
      </c>
      <c r="D6" s="82" t="n"/>
    </row>
    <row r="7">
      <c r="B7" s="60" t="inlineStr">
        <is>
          <t>Total project cost (before financing)</t>
        </is>
      </c>
      <c r="C7" s="142">
        <f>'Sources and Uses'!C10</f>
        <v/>
      </c>
      <c r="D7" s="82" t="inlineStr">
        <is>
          <t>Sources and Uses</t>
        </is>
      </c>
    </row>
    <row r="8">
      <c r="B8" s="60" t="inlineStr">
        <is>
          <t>All-in cost per SF</t>
        </is>
      </c>
      <c r="C8" s="143">
        <f>'Sources and Uses'!E10</f>
        <v/>
      </c>
      <c r="D8" s="82" t="inlineStr">
        <is>
          <t>Purchase + renovation + leasing + carry</t>
        </is>
      </c>
    </row>
    <row r="9"/>
    <row r="10">
      <c r="B10" s="59" t="inlineStr">
        <is>
          <t>STABILIZED OPERATIONS</t>
        </is>
      </c>
      <c r="C10" s="59" t="n"/>
      <c r="D10" s="59" t="n"/>
    </row>
    <row r="11">
      <c r="B11" s="60" t="inlineStr">
        <is>
          <t>Stabilized NOI (annualized, first rent month)</t>
        </is>
      </c>
      <c r="C11" s="142">
        <f>INDEX('Cash Flow'!D17:BL17,Assumptions!C31)*12</f>
        <v/>
      </c>
      <c r="D11" s="82" t="inlineStr">
        <is>
          <t>NOI in rent start month x 12</t>
        </is>
      </c>
    </row>
    <row r="12">
      <c r="B12" s="144" t="inlineStr">
        <is>
          <t>Yield on cost</t>
        </is>
      </c>
      <c r="C12" s="66">
        <f>C11/C7</f>
        <v/>
      </c>
      <c r="D12" s="82" t="inlineStr">
        <is>
          <t>Stabilized NOI / total project cost</t>
        </is>
      </c>
    </row>
    <row r="13">
      <c r="B13" s="60" t="inlineStr">
        <is>
          <t>Exit cap rate</t>
        </is>
      </c>
      <c r="C13" s="67">
        <f>Assumptions!C51</f>
        <v/>
      </c>
      <c r="D13" s="82" t="n"/>
    </row>
    <row r="14">
      <c r="B14" s="144" t="inlineStr">
        <is>
          <t>Development spread (yield on cost - exit cap)</t>
        </is>
      </c>
      <c r="C14" s="66">
        <f>C12-C13</f>
        <v/>
      </c>
      <c r="D14" s="82" t="inlineStr">
        <is>
          <t>Negative = renovation does not create value at this price</t>
        </is>
      </c>
    </row>
    <row r="15"/>
    <row r="16">
      <c r="B16" s="59" t="inlineStr">
        <is>
          <t>EXIT</t>
        </is>
      </c>
      <c r="C16" s="59" t="n"/>
      <c r="D16" s="59" t="n"/>
    </row>
    <row r="17">
      <c r="B17" s="60" t="inlineStr">
        <is>
          <t>Forward 12-month NOI at sale</t>
        </is>
      </c>
      <c r="C17" s="142">
        <f>INDEX('Cash Flow'!D17:BL17,Assumptions!C50+1)*12</f>
        <v/>
      </c>
      <c r="D17" s="82" t="inlineStr">
        <is>
          <t>Month 61 NOI x 12</t>
        </is>
      </c>
    </row>
    <row r="18">
      <c r="B18" s="60" t="inlineStr">
        <is>
          <t>Gross sale price</t>
        </is>
      </c>
      <c r="C18" s="142">
        <f>C17/C13</f>
        <v/>
      </c>
      <c r="D18" s="82" t="n"/>
    </row>
    <row r="19">
      <c r="B19" s="60" t="inlineStr">
        <is>
          <t>Gross sale price per SF</t>
        </is>
      </c>
      <c r="C19" s="143">
        <f>C18/Assumptions!C5</f>
        <v/>
      </c>
      <c r="D19" s="82" t="n"/>
    </row>
    <row r="20">
      <c r="B20" s="60" t="inlineStr">
        <is>
          <t>Net sale proceeds (after selling costs)</t>
        </is>
      </c>
      <c r="C20" s="142">
        <f>C18*(1-Assumptions!C52)</f>
        <v/>
      </c>
      <c r="D20" s="82" t="n"/>
    </row>
    <row r="21"/>
    <row r="22">
      <c r="B22" s="59" t="inlineStr">
        <is>
          <t>UNLEVERED RETURNS</t>
        </is>
      </c>
      <c r="C22" s="59" t="n"/>
      <c r="D22" s="59" t="n"/>
    </row>
    <row r="23">
      <c r="B23" s="60" t="inlineStr">
        <is>
          <t>Unlevered profit</t>
        </is>
      </c>
      <c r="C23" s="142">
        <f>SUM('Cash Flow'!C30:BK30)</f>
        <v/>
      </c>
      <c r="D23" s="82" t="n"/>
    </row>
    <row r="24">
      <c r="B24" s="144" t="inlineStr">
        <is>
          <t>Unlevered IRR</t>
        </is>
      </c>
      <c r="C24" s="66">
        <f>XIRR('Cash Flow'!C30:BK30,'Cash Flow'!C3:BK3)</f>
        <v/>
      </c>
      <c r="D24" s="82" t="inlineStr">
        <is>
          <t>XIRR on monthly cash flows</t>
        </is>
      </c>
    </row>
    <row r="25">
      <c r="B25" s="60" t="inlineStr">
        <is>
          <t>Unlevered IRR (monthly IRR check)</t>
        </is>
      </c>
      <c r="C25" s="67">
        <f>(1+IRR('Cash Flow'!C30:BK30,0.003))^12-1</f>
        <v/>
      </c>
      <c r="D25" s="82" t="inlineStr">
        <is>
          <t>Should be close to XIRR</t>
        </is>
      </c>
    </row>
    <row r="26">
      <c r="B26" s="60" t="inlineStr">
        <is>
          <t>Unlevered equity multiple</t>
        </is>
      </c>
      <c r="C26" s="145">
        <f>SUMIF('Cash Flow'!C30:BK30,"&gt;0")/-SUMIF('Cash Flow'!C30:BK30,"&lt;0")</f>
        <v/>
      </c>
      <c r="D26" s="82" t="n"/>
    </row>
    <row r="27"/>
    <row r="28">
      <c r="B28" s="59" t="inlineStr">
        <is>
          <t>LEVERED RETURNS</t>
        </is>
      </c>
      <c r="C28" s="59" t="n"/>
      <c r="D28" s="59" t="n"/>
    </row>
    <row r="29">
      <c r="B29" s="60" t="inlineStr">
        <is>
          <t>Levered profit</t>
        </is>
      </c>
      <c r="C29" s="142">
        <f>SUM('Cash Flow'!C38:BK38)</f>
        <v/>
      </c>
      <c r="D29" s="82" t="n"/>
    </row>
    <row r="30">
      <c r="B30" s="144" t="inlineStr">
        <is>
          <t>Levered IRR</t>
        </is>
      </c>
      <c r="C30" s="66">
        <f>XIRR('Cash Flow'!C38:BK38,'Cash Flow'!C3:BK3)</f>
        <v/>
      </c>
      <c r="D30" s="82" t="inlineStr">
        <is>
          <t>XIRR on monthly cash flows</t>
        </is>
      </c>
    </row>
    <row r="31">
      <c r="B31" s="60" t="inlineStr">
        <is>
          <t>Levered IRR (monthly IRR check)</t>
        </is>
      </c>
      <c r="C31" s="67">
        <f>(1+IRR('Cash Flow'!C38:BK38,0.001))^12-1</f>
        <v/>
      </c>
      <c r="D31" s="82" t="inlineStr">
        <is>
          <t>Should be close to XIRR</t>
        </is>
      </c>
    </row>
    <row r="32">
      <c r="B32" s="60" t="inlineStr">
        <is>
          <t>Levered equity multiple</t>
        </is>
      </c>
      <c r="C32" s="145">
        <f>SUMIF('Cash Flow'!C38:BK38,"&gt;0")/-SUMIF('Cash Flow'!C38:BK38,"&lt;0")</f>
        <v/>
      </c>
      <c r="D32" s="82" t="n"/>
    </row>
    <row r="33">
      <c r="B33" s="60" t="inlineStr">
        <is>
          <t>Peak equity required</t>
        </is>
      </c>
      <c r="C33" s="142">
        <f>-MIN('Cash Flow'!C40:BK40)</f>
        <v/>
      </c>
      <c r="D33" s="82" t="inlineStr">
        <is>
          <t>Includes interest carry during renovation and lease-up (not in Sources and Uses)</t>
        </is>
      </c>
    </row>
    <row r="34"/>
    <row r="35">
      <c r="B35" s="59" t="inlineStr">
        <is>
          <t>DEBT METRICS</t>
        </is>
      </c>
      <c r="C35" s="59" t="n"/>
      <c r="D35" s="59" t="n"/>
    </row>
    <row r="36">
      <c r="B36" s="60" t="inlineStr">
        <is>
          <t>Loan amount</t>
        </is>
      </c>
      <c r="C36" s="142">
        <f>'Sources and Uses'!C15</f>
        <v/>
      </c>
      <c r="D36" s="82" t="n"/>
    </row>
    <row r="37">
      <c r="B37" s="60" t="inlineStr">
        <is>
          <t>Annual interest</t>
        </is>
      </c>
      <c r="C37" s="142">
        <f>C36*Assumptions!C45</f>
        <v/>
      </c>
      <c r="D37" s="82" t="n"/>
    </row>
    <row r="38">
      <c r="B38" s="60" t="inlineStr">
        <is>
          <t>DSCR at stabilization</t>
        </is>
      </c>
      <c r="C38" s="145">
        <f>C11/C37</f>
        <v/>
      </c>
      <c r="D38" s="82" t="inlineStr">
        <is>
          <t>Stabilized NOI / annual interest; lenders typically want 1.25x+</t>
        </is>
      </c>
    </row>
    <row r="39">
      <c r="B39" s="60" t="inlineStr">
        <is>
          <t>Debt yield at stabilization</t>
        </is>
      </c>
      <c r="C39" s="67">
        <f>C11/C36</f>
        <v/>
      </c>
      <c r="D39" s="82" t="inlineStr">
        <is>
          <t>Stabilized NOI / loan</t>
        </is>
      </c>
    </row>
    <row r="40"/>
    <row r="41">
      <c r="B41" s="59" t="inlineStr">
        <is>
          <t>MAXIMUM PURCHASE PRICE</t>
        </is>
      </c>
      <c r="C41" s="59" t="n"/>
      <c r="D41" s="59" t="n"/>
    </row>
    <row r="42">
      <c r="B42" s="60" t="inlineStr">
        <is>
          <t>Target yield on cost</t>
        </is>
      </c>
      <c r="C42" s="67">
        <f>Assumptions!C55</f>
        <v/>
      </c>
      <c r="D42" s="82" t="inlineStr">
        <is>
          <t>Input on Assumptions tab</t>
        </is>
      </c>
    </row>
    <row r="43">
      <c r="B43" s="144" t="inlineStr">
        <is>
          <t>Maximum price to hit target yield on cost</t>
        </is>
      </c>
      <c r="C43" s="146">
        <f>(12*Assumptions!$C$23*Assumptions!$C$5*(1-Assumptions!$C$41-Assumptions!$C$39)-Assumptions!$C$41*(Assumptions!$C$36+Assumptions!$C$37)*Assumptions!$C$5-Assumptions!$C$55*(Assumptions!$C$19+(Assumptions!$C$28*Assumptions!$C$5)+(Assumptions!$C$29*Assumptions!$C$23*Assumptions!$C$5*Assumptions!$C$25)+(Assumptions!$C$36+Assumptions!$C$37)*Assumptions!$C$5*(Assumptions!$C$30-1)/12))/(Assumptions!$C$55*(1+Assumptions!$C$10+Assumptions!$C$34*(Assumptions!$C$30-1)/12)+Assumptions!$C$41*Assumptions!$C$34)</f>
        <v/>
      </c>
      <c r="D43" s="82" t="inlineStr">
        <is>
          <t>Solved algebraically; all other assumptions held constant</t>
        </is>
      </c>
    </row>
    <row r="44">
      <c r="B44" s="60" t="inlineStr">
        <is>
          <t>Discount to asking price</t>
        </is>
      </c>
      <c r="C44" s="147">
        <f>1-C43/C5</f>
        <v/>
      </c>
      <c r="D44" s="82" t="n"/>
    </row>
    <row r="45">
      <c r="B45" s="60" t="inlineStr">
        <is>
          <t>Check: yield on cost at maximum price</t>
        </is>
      </c>
      <c r="C45" s="67">
        <f>(12*Assumptions!$C$23*Assumptions!$C$5*(1-Assumptions!$C$41-Assumptions!$C$39)-Assumptions!$C$41*($C$43*Assumptions!$C$34+(Assumptions!$C$36+Assumptions!$C$37)*Assumptions!$C$5))/($C$43*(1+Assumptions!$C$10)+Assumptions!$C$19+(Assumptions!$C$28*Assumptions!$C$5)+(Assumptions!$C$29*Assumptions!$C$23*Assumptions!$C$5*Assumptions!$C$25)+($C$43*Assumptions!$C$34+(Assumptions!$C$36+Assumptions!$C$37)*Assumptions!$C$5)*(Assumptions!$C$30-1)/12)</f>
        <v/>
      </c>
      <c r="D45" s="82" t="inlineStr">
        <is>
          <t>Should equal target</t>
        </is>
      </c>
    </row>
    <row r="46"/>
    <row r="47">
      <c r="B47" s="59" t="inlineStr">
        <is>
          <t>CONCLUSION (base case)</t>
        </is>
      </c>
      <c r="C47" s="59" t="n"/>
      <c r="D47" s="59" t="n"/>
    </row>
    <row r="48" ht="18" customHeight="1">
      <c r="B48" s="74" t="inlineStr">
        <is>
          <t>At the $10.8M asking price, stabilized yield on cost (~5.2%) is below the 6.0% exit cap and the 6.25% loan rate, so renovation destroys value and leverage hurts returns (levered IRR ~0%). Even at $2.30 rents, levered IRR is only ~7%. A ~12% levered IRR needs roughly $9.5M at $2.30 rents or $9.0M at $2.20 (see Sensitivity); at $2.00 rents, a 6.5% yield on cost requires ~$8.2M.</t>
        </is>
      </c>
    </row>
    <row r="49" ht="18" customHeight="1"/>
    <row r="50" ht="18" customHeight="1"/>
  </sheetData>
  <mergeCells count="1">
    <mergeCell ref="B48:D50"/>
  </mergeCells>
  <pageMargins left="0.75" right="0.75" top="1" bottom="1" header="0.511811023622047" footer="0.511811023622047"/>
  <pageSetup orientation="landscape" paperSize="9" fitToHeight="0" fitToWidth="1" horizontalDpi="300" verticalDpi="300"/>
</worksheet>
</file>

<file path=xl/worksheets/sheet8.xml><?xml version="1.0" encoding="utf-8"?>
<worksheet xmlns="http://schemas.openxmlformats.org/spreadsheetml/2006/main">
  <sheetPr>
    <tabColor rgb="001F3A32"/>
    <outlinePr summaryBelow="1" summaryRight="1"/>
    <pageSetUpPr fitToPage="1"/>
  </sheetPr>
  <dimension ref="A1:G35"/>
  <sheetViews>
    <sheetView showGridLines="0" tabSelected="0" zoomScale="100" zoomScaleNormal="100" workbookViewId="0">
      <selection activeCell="E46" sqref="E46"/>
    </sheetView>
  </sheetViews>
  <sheetFormatPr baseColWidth="10" defaultColWidth="8.5" defaultRowHeight="16"/>
  <cols>
    <col width="2" customWidth="1" min="1" max="1"/>
    <col width="24" customWidth="1" min="2" max="2"/>
    <col width="15" customWidth="1" min="3" max="8"/>
    <col width="15" customWidth="1" min="4" max="4"/>
    <col width="15" customWidth="1" min="5" max="5"/>
    <col width="15" customWidth="1" min="6" max="6"/>
    <col width="15" customWidth="1" min="7" max="7"/>
  </cols>
  <sheetData>
    <row r="1" ht="28" customHeight="1">
      <c r="B1" s="56" t="inlineStr">
        <is>
          <t>Sensitivity Analysis</t>
        </is>
      </c>
      <c r="C1" s="57" t="n"/>
      <c r="D1" s="57" t="n"/>
      <c r="E1" s="57" t="n"/>
      <c r="F1" s="57" t="n"/>
      <c r="G1" s="57" t="n"/>
    </row>
    <row r="2">
      <c r="B2" s="58" t="inlineStr">
        <is>
          <t>Blue = scenario values you can edit. Base case: $2.00 rent, $10.8M price.</t>
        </is>
      </c>
    </row>
    <row r="3">
      <c r="B3" s="59" t="inlineStr">
        <is>
          <t>1) YIELD ON COST: rent × purchase price (live formulas)</t>
        </is>
      </c>
      <c r="C3" s="59" t="n"/>
      <c r="D3" s="59" t="n"/>
      <c r="E3" s="59" t="n"/>
      <c r="F3" s="59" t="n"/>
      <c r="G3" s="59" t="n"/>
    </row>
    <row r="4">
      <c r="B4" s="58" t="inlineStr">
        <is>
          <t>Stabilized NOI ÷ total project cost; all other assumptions from Assumptions tab</t>
        </is>
      </c>
    </row>
    <row r="5">
      <c r="B5" s="148" t="inlineStr">
        <is>
          <t>Rent ($/SF/mo NNN) ↓</t>
        </is>
      </c>
      <c r="C5" s="149" t="n">
        <v>8500000</v>
      </c>
      <c r="D5" s="149" t="n">
        <v>9000000</v>
      </c>
      <c r="E5" s="149" t="n">
        <v>9500000</v>
      </c>
      <c r="F5" s="149" t="n">
        <v>10000000</v>
      </c>
      <c r="G5" s="149" t="n">
        <v>10800000</v>
      </c>
    </row>
    <row r="6">
      <c r="B6" s="150" t="n">
        <v>1.8</v>
      </c>
      <c r="C6" s="151">
        <f>(12*$B6*Assumptions!$C$5*(1-Assumptions!$C$41-Assumptions!$C$39)-Assumptions!$C$41*(C$5*Assumptions!$C$34+(Assumptions!$C$36+Assumptions!$C$37)*Assumptions!$C$5))/(C$5*(1+Assumptions!$C$10)+Assumptions!$C$19+(Assumptions!$C$28*Assumptions!$C$5)+(Assumptions!$C$29*$B6*Assumptions!$C$5*Assumptions!$C$25)+(C$5*Assumptions!$C$34+(Assumptions!$C$36+Assumptions!$C$37)*Assumptions!$C$5)*(Assumptions!$C$30-1)/12)</f>
        <v/>
      </c>
      <c r="D6" s="151">
        <f>(12*$B6*Assumptions!$C$5*(1-Assumptions!$C$41-Assumptions!$C$39)-Assumptions!$C$41*(D$5*Assumptions!$C$34+(Assumptions!$C$36+Assumptions!$C$37)*Assumptions!$C$5))/(D$5*(1+Assumptions!$C$10)+Assumptions!$C$19+(Assumptions!$C$28*Assumptions!$C$5)+(Assumptions!$C$29*$B6*Assumptions!$C$5*Assumptions!$C$25)+(D$5*Assumptions!$C$34+(Assumptions!$C$36+Assumptions!$C$37)*Assumptions!$C$5)*(Assumptions!$C$30-1)/12)</f>
        <v/>
      </c>
      <c r="E6" s="151">
        <f>(12*$B6*Assumptions!$C$5*(1-Assumptions!$C$41-Assumptions!$C$39)-Assumptions!$C$41*(E$5*Assumptions!$C$34+(Assumptions!$C$36+Assumptions!$C$37)*Assumptions!$C$5))/(E$5*(1+Assumptions!$C$10)+Assumptions!$C$19+(Assumptions!$C$28*Assumptions!$C$5)+(Assumptions!$C$29*$B6*Assumptions!$C$5*Assumptions!$C$25)+(E$5*Assumptions!$C$34+(Assumptions!$C$36+Assumptions!$C$37)*Assumptions!$C$5)*(Assumptions!$C$30-1)/12)</f>
        <v/>
      </c>
      <c r="F6" s="151">
        <f>(12*$B6*Assumptions!$C$5*(1-Assumptions!$C$41-Assumptions!$C$39)-Assumptions!$C$41*(F$5*Assumptions!$C$34+(Assumptions!$C$36+Assumptions!$C$37)*Assumptions!$C$5))/(F$5*(1+Assumptions!$C$10)+Assumptions!$C$19+(Assumptions!$C$28*Assumptions!$C$5)+(Assumptions!$C$29*$B6*Assumptions!$C$5*Assumptions!$C$25)+(F$5*Assumptions!$C$34+(Assumptions!$C$36+Assumptions!$C$37)*Assumptions!$C$5)*(Assumptions!$C$30-1)/12)</f>
        <v/>
      </c>
      <c r="G6" s="151">
        <f>(12*$B6*Assumptions!$C$5*(1-Assumptions!$C$41-Assumptions!$C$39)-Assumptions!$C$41*(G$5*Assumptions!$C$34+(Assumptions!$C$36+Assumptions!$C$37)*Assumptions!$C$5))/(G$5*(1+Assumptions!$C$10)+Assumptions!$C$19+(Assumptions!$C$28*Assumptions!$C$5)+(Assumptions!$C$29*$B6*Assumptions!$C$5*Assumptions!$C$25)+(G$5*Assumptions!$C$34+(Assumptions!$C$36+Assumptions!$C$37)*Assumptions!$C$5)*(Assumptions!$C$30-1)/12)</f>
        <v/>
      </c>
    </row>
    <row r="7">
      <c r="B7" s="150" t="n">
        <v>1.9</v>
      </c>
      <c r="C7" s="151">
        <f>(12*$B7*Assumptions!$C$5*(1-Assumptions!$C$41-Assumptions!$C$39)-Assumptions!$C$41*(C$5*Assumptions!$C$34+(Assumptions!$C$36+Assumptions!$C$37)*Assumptions!$C$5))/(C$5*(1+Assumptions!$C$10)+Assumptions!$C$19+(Assumptions!$C$28*Assumptions!$C$5)+(Assumptions!$C$29*$B7*Assumptions!$C$5*Assumptions!$C$25)+(C$5*Assumptions!$C$34+(Assumptions!$C$36+Assumptions!$C$37)*Assumptions!$C$5)*(Assumptions!$C$30-1)/12)</f>
        <v/>
      </c>
      <c r="D7" s="151">
        <f>(12*$B7*Assumptions!$C$5*(1-Assumptions!$C$41-Assumptions!$C$39)-Assumptions!$C$41*(D$5*Assumptions!$C$34+(Assumptions!$C$36+Assumptions!$C$37)*Assumptions!$C$5))/(D$5*(1+Assumptions!$C$10)+Assumptions!$C$19+(Assumptions!$C$28*Assumptions!$C$5)+(Assumptions!$C$29*$B7*Assumptions!$C$5*Assumptions!$C$25)+(D$5*Assumptions!$C$34+(Assumptions!$C$36+Assumptions!$C$37)*Assumptions!$C$5)*(Assumptions!$C$30-1)/12)</f>
        <v/>
      </c>
      <c r="E7" s="151">
        <f>(12*$B7*Assumptions!$C$5*(1-Assumptions!$C$41-Assumptions!$C$39)-Assumptions!$C$41*(E$5*Assumptions!$C$34+(Assumptions!$C$36+Assumptions!$C$37)*Assumptions!$C$5))/(E$5*(1+Assumptions!$C$10)+Assumptions!$C$19+(Assumptions!$C$28*Assumptions!$C$5)+(Assumptions!$C$29*$B7*Assumptions!$C$5*Assumptions!$C$25)+(E$5*Assumptions!$C$34+(Assumptions!$C$36+Assumptions!$C$37)*Assumptions!$C$5)*(Assumptions!$C$30-1)/12)</f>
        <v/>
      </c>
      <c r="F7" s="151">
        <f>(12*$B7*Assumptions!$C$5*(1-Assumptions!$C$41-Assumptions!$C$39)-Assumptions!$C$41*(F$5*Assumptions!$C$34+(Assumptions!$C$36+Assumptions!$C$37)*Assumptions!$C$5))/(F$5*(1+Assumptions!$C$10)+Assumptions!$C$19+(Assumptions!$C$28*Assumptions!$C$5)+(Assumptions!$C$29*$B7*Assumptions!$C$5*Assumptions!$C$25)+(F$5*Assumptions!$C$34+(Assumptions!$C$36+Assumptions!$C$37)*Assumptions!$C$5)*(Assumptions!$C$30-1)/12)</f>
        <v/>
      </c>
      <c r="G7" s="151">
        <f>(12*$B7*Assumptions!$C$5*(1-Assumptions!$C$41-Assumptions!$C$39)-Assumptions!$C$41*(G$5*Assumptions!$C$34+(Assumptions!$C$36+Assumptions!$C$37)*Assumptions!$C$5))/(G$5*(1+Assumptions!$C$10)+Assumptions!$C$19+(Assumptions!$C$28*Assumptions!$C$5)+(Assumptions!$C$29*$B7*Assumptions!$C$5*Assumptions!$C$25)+(G$5*Assumptions!$C$34+(Assumptions!$C$36+Assumptions!$C$37)*Assumptions!$C$5)*(Assumptions!$C$30-1)/12)</f>
        <v/>
      </c>
    </row>
    <row r="8">
      <c r="B8" s="150" t="n">
        <v>2</v>
      </c>
      <c r="C8" s="151">
        <f>(12*$B8*Assumptions!$C$5*(1-Assumptions!$C$41-Assumptions!$C$39)-Assumptions!$C$41*(C$5*Assumptions!$C$34+(Assumptions!$C$36+Assumptions!$C$37)*Assumptions!$C$5))/(C$5*(1+Assumptions!$C$10)+Assumptions!$C$19+(Assumptions!$C$28*Assumptions!$C$5)+(Assumptions!$C$29*$B8*Assumptions!$C$5*Assumptions!$C$25)+(C$5*Assumptions!$C$34+(Assumptions!$C$36+Assumptions!$C$37)*Assumptions!$C$5)*(Assumptions!$C$30-1)/12)</f>
        <v/>
      </c>
      <c r="D8" s="151">
        <f>(12*$B8*Assumptions!$C$5*(1-Assumptions!$C$41-Assumptions!$C$39)-Assumptions!$C$41*(D$5*Assumptions!$C$34+(Assumptions!$C$36+Assumptions!$C$37)*Assumptions!$C$5))/(D$5*(1+Assumptions!$C$10)+Assumptions!$C$19+(Assumptions!$C$28*Assumptions!$C$5)+(Assumptions!$C$29*$B8*Assumptions!$C$5*Assumptions!$C$25)+(D$5*Assumptions!$C$34+(Assumptions!$C$36+Assumptions!$C$37)*Assumptions!$C$5)*(Assumptions!$C$30-1)/12)</f>
        <v/>
      </c>
      <c r="E8" s="151">
        <f>(12*$B8*Assumptions!$C$5*(1-Assumptions!$C$41-Assumptions!$C$39)-Assumptions!$C$41*(E$5*Assumptions!$C$34+(Assumptions!$C$36+Assumptions!$C$37)*Assumptions!$C$5))/(E$5*(1+Assumptions!$C$10)+Assumptions!$C$19+(Assumptions!$C$28*Assumptions!$C$5)+(Assumptions!$C$29*$B8*Assumptions!$C$5*Assumptions!$C$25)+(E$5*Assumptions!$C$34+(Assumptions!$C$36+Assumptions!$C$37)*Assumptions!$C$5)*(Assumptions!$C$30-1)/12)</f>
        <v/>
      </c>
      <c r="F8" s="151">
        <f>(12*$B8*Assumptions!$C$5*(1-Assumptions!$C$41-Assumptions!$C$39)-Assumptions!$C$41*(F$5*Assumptions!$C$34+(Assumptions!$C$36+Assumptions!$C$37)*Assumptions!$C$5))/(F$5*(1+Assumptions!$C$10)+Assumptions!$C$19+(Assumptions!$C$28*Assumptions!$C$5)+(Assumptions!$C$29*$B8*Assumptions!$C$5*Assumptions!$C$25)+(F$5*Assumptions!$C$34+(Assumptions!$C$36+Assumptions!$C$37)*Assumptions!$C$5)*(Assumptions!$C$30-1)/12)</f>
        <v/>
      </c>
      <c r="G8" s="151">
        <f>(12*$B8*Assumptions!$C$5*(1-Assumptions!$C$41-Assumptions!$C$39)-Assumptions!$C$41*(G$5*Assumptions!$C$34+(Assumptions!$C$36+Assumptions!$C$37)*Assumptions!$C$5))/(G$5*(1+Assumptions!$C$10)+Assumptions!$C$19+(Assumptions!$C$28*Assumptions!$C$5)+(Assumptions!$C$29*$B8*Assumptions!$C$5*Assumptions!$C$25)+(G$5*Assumptions!$C$34+(Assumptions!$C$36+Assumptions!$C$37)*Assumptions!$C$5)*(Assumptions!$C$30-1)/12)</f>
        <v/>
      </c>
    </row>
    <row r="9">
      <c r="B9" s="150" t="n">
        <v>2.1</v>
      </c>
      <c r="C9" s="151">
        <f>(12*$B9*Assumptions!$C$5*(1-Assumptions!$C$41-Assumptions!$C$39)-Assumptions!$C$41*(C$5*Assumptions!$C$34+(Assumptions!$C$36+Assumptions!$C$37)*Assumptions!$C$5))/(C$5*(1+Assumptions!$C$10)+Assumptions!$C$19+(Assumptions!$C$28*Assumptions!$C$5)+(Assumptions!$C$29*$B9*Assumptions!$C$5*Assumptions!$C$25)+(C$5*Assumptions!$C$34+(Assumptions!$C$36+Assumptions!$C$37)*Assumptions!$C$5)*(Assumptions!$C$30-1)/12)</f>
        <v/>
      </c>
      <c r="D9" s="151">
        <f>(12*$B9*Assumptions!$C$5*(1-Assumptions!$C$41-Assumptions!$C$39)-Assumptions!$C$41*(D$5*Assumptions!$C$34+(Assumptions!$C$36+Assumptions!$C$37)*Assumptions!$C$5))/(D$5*(1+Assumptions!$C$10)+Assumptions!$C$19+(Assumptions!$C$28*Assumptions!$C$5)+(Assumptions!$C$29*$B9*Assumptions!$C$5*Assumptions!$C$25)+(D$5*Assumptions!$C$34+(Assumptions!$C$36+Assumptions!$C$37)*Assumptions!$C$5)*(Assumptions!$C$30-1)/12)</f>
        <v/>
      </c>
      <c r="E9" s="151">
        <f>(12*$B9*Assumptions!$C$5*(1-Assumptions!$C$41-Assumptions!$C$39)-Assumptions!$C$41*(E$5*Assumptions!$C$34+(Assumptions!$C$36+Assumptions!$C$37)*Assumptions!$C$5))/(E$5*(1+Assumptions!$C$10)+Assumptions!$C$19+(Assumptions!$C$28*Assumptions!$C$5)+(Assumptions!$C$29*$B9*Assumptions!$C$5*Assumptions!$C$25)+(E$5*Assumptions!$C$34+(Assumptions!$C$36+Assumptions!$C$37)*Assumptions!$C$5)*(Assumptions!$C$30-1)/12)</f>
        <v/>
      </c>
      <c r="F9" s="151">
        <f>(12*$B9*Assumptions!$C$5*(1-Assumptions!$C$41-Assumptions!$C$39)-Assumptions!$C$41*(F$5*Assumptions!$C$34+(Assumptions!$C$36+Assumptions!$C$37)*Assumptions!$C$5))/(F$5*(1+Assumptions!$C$10)+Assumptions!$C$19+(Assumptions!$C$28*Assumptions!$C$5)+(Assumptions!$C$29*$B9*Assumptions!$C$5*Assumptions!$C$25)+(F$5*Assumptions!$C$34+(Assumptions!$C$36+Assumptions!$C$37)*Assumptions!$C$5)*(Assumptions!$C$30-1)/12)</f>
        <v/>
      </c>
      <c r="G9" s="151">
        <f>(12*$B9*Assumptions!$C$5*(1-Assumptions!$C$41-Assumptions!$C$39)-Assumptions!$C$41*(G$5*Assumptions!$C$34+(Assumptions!$C$36+Assumptions!$C$37)*Assumptions!$C$5))/(G$5*(1+Assumptions!$C$10)+Assumptions!$C$19+(Assumptions!$C$28*Assumptions!$C$5)+(Assumptions!$C$29*$B9*Assumptions!$C$5*Assumptions!$C$25)+(G$5*Assumptions!$C$34+(Assumptions!$C$36+Assumptions!$C$37)*Assumptions!$C$5)*(Assumptions!$C$30-1)/12)</f>
        <v/>
      </c>
    </row>
    <row r="10">
      <c r="B10" s="150" t="n">
        <v>2.2</v>
      </c>
      <c r="C10" s="151">
        <f>(12*$B10*Assumptions!$C$5*(1-Assumptions!$C$41-Assumptions!$C$39)-Assumptions!$C$41*(C$5*Assumptions!$C$34+(Assumptions!$C$36+Assumptions!$C$37)*Assumptions!$C$5))/(C$5*(1+Assumptions!$C$10)+Assumptions!$C$19+(Assumptions!$C$28*Assumptions!$C$5)+(Assumptions!$C$29*$B10*Assumptions!$C$5*Assumptions!$C$25)+(C$5*Assumptions!$C$34+(Assumptions!$C$36+Assumptions!$C$37)*Assumptions!$C$5)*(Assumptions!$C$30-1)/12)</f>
        <v/>
      </c>
      <c r="D10" s="151">
        <f>(12*$B10*Assumptions!$C$5*(1-Assumptions!$C$41-Assumptions!$C$39)-Assumptions!$C$41*(D$5*Assumptions!$C$34+(Assumptions!$C$36+Assumptions!$C$37)*Assumptions!$C$5))/(D$5*(1+Assumptions!$C$10)+Assumptions!$C$19+(Assumptions!$C$28*Assumptions!$C$5)+(Assumptions!$C$29*$B10*Assumptions!$C$5*Assumptions!$C$25)+(D$5*Assumptions!$C$34+(Assumptions!$C$36+Assumptions!$C$37)*Assumptions!$C$5)*(Assumptions!$C$30-1)/12)</f>
        <v/>
      </c>
      <c r="E10" s="151">
        <f>(12*$B10*Assumptions!$C$5*(1-Assumptions!$C$41-Assumptions!$C$39)-Assumptions!$C$41*(E$5*Assumptions!$C$34+(Assumptions!$C$36+Assumptions!$C$37)*Assumptions!$C$5))/(E$5*(1+Assumptions!$C$10)+Assumptions!$C$19+(Assumptions!$C$28*Assumptions!$C$5)+(Assumptions!$C$29*$B10*Assumptions!$C$5*Assumptions!$C$25)+(E$5*Assumptions!$C$34+(Assumptions!$C$36+Assumptions!$C$37)*Assumptions!$C$5)*(Assumptions!$C$30-1)/12)</f>
        <v/>
      </c>
      <c r="F10" s="151">
        <f>(12*$B10*Assumptions!$C$5*(1-Assumptions!$C$41-Assumptions!$C$39)-Assumptions!$C$41*(F$5*Assumptions!$C$34+(Assumptions!$C$36+Assumptions!$C$37)*Assumptions!$C$5))/(F$5*(1+Assumptions!$C$10)+Assumptions!$C$19+(Assumptions!$C$28*Assumptions!$C$5)+(Assumptions!$C$29*$B10*Assumptions!$C$5*Assumptions!$C$25)+(F$5*Assumptions!$C$34+(Assumptions!$C$36+Assumptions!$C$37)*Assumptions!$C$5)*(Assumptions!$C$30-1)/12)</f>
        <v/>
      </c>
      <c r="G10" s="151">
        <f>(12*$B10*Assumptions!$C$5*(1-Assumptions!$C$41-Assumptions!$C$39)-Assumptions!$C$41*(G$5*Assumptions!$C$34+(Assumptions!$C$36+Assumptions!$C$37)*Assumptions!$C$5))/(G$5*(1+Assumptions!$C$10)+Assumptions!$C$19+(Assumptions!$C$28*Assumptions!$C$5)+(Assumptions!$C$29*$B10*Assumptions!$C$5*Assumptions!$C$25)+(G$5*Assumptions!$C$34+(Assumptions!$C$36+Assumptions!$C$37)*Assumptions!$C$5)*(Assumptions!$C$30-1)/12)</f>
        <v/>
      </c>
    </row>
    <row r="11">
      <c r="B11" s="150" t="n">
        <v>2.3</v>
      </c>
      <c r="C11" s="151">
        <f>(12*$B11*Assumptions!$C$5*(1-Assumptions!$C$41-Assumptions!$C$39)-Assumptions!$C$41*(C$5*Assumptions!$C$34+(Assumptions!$C$36+Assumptions!$C$37)*Assumptions!$C$5))/(C$5*(1+Assumptions!$C$10)+Assumptions!$C$19+(Assumptions!$C$28*Assumptions!$C$5)+(Assumptions!$C$29*$B11*Assumptions!$C$5*Assumptions!$C$25)+(C$5*Assumptions!$C$34+(Assumptions!$C$36+Assumptions!$C$37)*Assumptions!$C$5)*(Assumptions!$C$30-1)/12)</f>
        <v/>
      </c>
      <c r="D11" s="151">
        <f>(12*$B11*Assumptions!$C$5*(1-Assumptions!$C$41-Assumptions!$C$39)-Assumptions!$C$41*(D$5*Assumptions!$C$34+(Assumptions!$C$36+Assumptions!$C$37)*Assumptions!$C$5))/(D$5*(1+Assumptions!$C$10)+Assumptions!$C$19+(Assumptions!$C$28*Assumptions!$C$5)+(Assumptions!$C$29*$B11*Assumptions!$C$5*Assumptions!$C$25)+(D$5*Assumptions!$C$34+(Assumptions!$C$36+Assumptions!$C$37)*Assumptions!$C$5)*(Assumptions!$C$30-1)/12)</f>
        <v/>
      </c>
      <c r="E11" s="151">
        <f>(12*$B11*Assumptions!$C$5*(1-Assumptions!$C$41-Assumptions!$C$39)-Assumptions!$C$41*(E$5*Assumptions!$C$34+(Assumptions!$C$36+Assumptions!$C$37)*Assumptions!$C$5))/(E$5*(1+Assumptions!$C$10)+Assumptions!$C$19+(Assumptions!$C$28*Assumptions!$C$5)+(Assumptions!$C$29*$B11*Assumptions!$C$5*Assumptions!$C$25)+(E$5*Assumptions!$C$34+(Assumptions!$C$36+Assumptions!$C$37)*Assumptions!$C$5)*(Assumptions!$C$30-1)/12)</f>
        <v/>
      </c>
      <c r="F11" s="151">
        <f>(12*$B11*Assumptions!$C$5*(1-Assumptions!$C$41-Assumptions!$C$39)-Assumptions!$C$41*(F$5*Assumptions!$C$34+(Assumptions!$C$36+Assumptions!$C$37)*Assumptions!$C$5))/(F$5*(1+Assumptions!$C$10)+Assumptions!$C$19+(Assumptions!$C$28*Assumptions!$C$5)+(Assumptions!$C$29*$B11*Assumptions!$C$5*Assumptions!$C$25)+(F$5*Assumptions!$C$34+(Assumptions!$C$36+Assumptions!$C$37)*Assumptions!$C$5)*(Assumptions!$C$30-1)/12)</f>
        <v/>
      </c>
      <c r="G11" s="151">
        <f>(12*$B11*Assumptions!$C$5*(1-Assumptions!$C$41-Assumptions!$C$39)-Assumptions!$C$41*(G$5*Assumptions!$C$34+(Assumptions!$C$36+Assumptions!$C$37)*Assumptions!$C$5))/(G$5*(1+Assumptions!$C$10)+Assumptions!$C$19+(Assumptions!$C$28*Assumptions!$C$5)+(Assumptions!$C$29*$B11*Assumptions!$C$5*Assumptions!$C$25)+(G$5*Assumptions!$C$34+(Assumptions!$C$36+Assumptions!$C$37)*Assumptions!$C$5)*(Assumptions!$C$30-1)/12)</f>
        <v/>
      </c>
    </row>
    <row r="12"/>
    <row r="13"/>
    <row r="14">
      <c r="B14" s="59" t="inlineStr">
        <is>
          <t>2) MAXIMUM PURCHASE PRICE: rent × target yield on cost (live formulas)</t>
        </is>
      </c>
      <c r="C14" s="59" t="n"/>
      <c r="D14" s="59" t="n"/>
      <c r="E14" s="59" t="n"/>
      <c r="F14" s="59" t="n"/>
      <c r="G14" s="59" t="n"/>
    </row>
    <row r="15">
      <c r="B15" s="58" t="inlineStr">
        <is>
          <t>Price at which the deal hits each target yield on cost</t>
        </is>
      </c>
    </row>
    <row r="16">
      <c r="B16" s="148" t="inlineStr">
        <is>
          <t>Rent ($/SF/mo NNN) ↓</t>
        </is>
      </c>
      <c r="C16" s="152" t="n">
        <v>0.06</v>
      </c>
      <c r="D16" s="152" t="n">
        <v>0.0625</v>
      </c>
      <c r="E16" s="152" t="n">
        <v>0.065</v>
      </c>
      <c r="F16" s="152" t="n">
        <v>0.0675</v>
      </c>
      <c r="G16" s="152" t="n">
        <v>0.07000000000000001</v>
      </c>
    </row>
    <row r="17">
      <c r="B17" s="150" t="n">
        <v>1.8</v>
      </c>
      <c r="C17" s="153">
        <f>(12*$B17*Assumptions!$C$5*(1-Assumptions!$C$41-Assumptions!$C$39)-Assumptions!$C$41*(Assumptions!$C$36+Assumptions!$C$37)*Assumptions!$C$5-C$16*(Assumptions!$C$19+(Assumptions!$C$28*Assumptions!$C$5)+(Assumptions!$C$29*$B17*Assumptions!$C$5*Assumptions!$C$25)+(Assumptions!$C$36+Assumptions!$C$37)*Assumptions!$C$5*(Assumptions!$C$30-1)/12))/(C$16*(1+Assumptions!$C$10+Assumptions!$C$34*(Assumptions!$C$30-1)/12)+Assumptions!$C$41*Assumptions!$C$34)</f>
        <v/>
      </c>
      <c r="D17" s="153">
        <f>(12*$B17*Assumptions!$C$5*(1-Assumptions!$C$41-Assumptions!$C$39)-Assumptions!$C$41*(Assumptions!$C$36+Assumptions!$C$37)*Assumptions!$C$5-D$16*(Assumptions!$C$19+(Assumptions!$C$28*Assumptions!$C$5)+(Assumptions!$C$29*$B17*Assumptions!$C$5*Assumptions!$C$25)+(Assumptions!$C$36+Assumptions!$C$37)*Assumptions!$C$5*(Assumptions!$C$30-1)/12))/(D$16*(1+Assumptions!$C$10+Assumptions!$C$34*(Assumptions!$C$30-1)/12)+Assumptions!$C$41*Assumptions!$C$34)</f>
        <v/>
      </c>
      <c r="E17" s="153">
        <f>(12*$B17*Assumptions!$C$5*(1-Assumptions!$C$41-Assumptions!$C$39)-Assumptions!$C$41*(Assumptions!$C$36+Assumptions!$C$37)*Assumptions!$C$5-E$16*(Assumptions!$C$19+(Assumptions!$C$28*Assumptions!$C$5)+(Assumptions!$C$29*$B17*Assumptions!$C$5*Assumptions!$C$25)+(Assumptions!$C$36+Assumptions!$C$37)*Assumptions!$C$5*(Assumptions!$C$30-1)/12))/(E$16*(1+Assumptions!$C$10+Assumptions!$C$34*(Assumptions!$C$30-1)/12)+Assumptions!$C$41*Assumptions!$C$34)</f>
        <v/>
      </c>
      <c r="F17" s="153">
        <f>(12*$B17*Assumptions!$C$5*(1-Assumptions!$C$41-Assumptions!$C$39)-Assumptions!$C$41*(Assumptions!$C$36+Assumptions!$C$37)*Assumptions!$C$5-F$16*(Assumptions!$C$19+(Assumptions!$C$28*Assumptions!$C$5)+(Assumptions!$C$29*$B17*Assumptions!$C$5*Assumptions!$C$25)+(Assumptions!$C$36+Assumptions!$C$37)*Assumptions!$C$5*(Assumptions!$C$30-1)/12))/(F$16*(1+Assumptions!$C$10+Assumptions!$C$34*(Assumptions!$C$30-1)/12)+Assumptions!$C$41*Assumptions!$C$34)</f>
        <v/>
      </c>
      <c r="G17" s="153">
        <f>(12*$B17*Assumptions!$C$5*(1-Assumptions!$C$41-Assumptions!$C$39)-Assumptions!$C$41*(Assumptions!$C$36+Assumptions!$C$37)*Assumptions!$C$5-G$16*(Assumptions!$C$19+(Assumptions!$C$28*Assumptions!$C$5)+(Assumptions!$C$29*$B17*Assumptions!$C$5*Assumptions!$C$25)+(Assumptions!$C$36+Assumptions!$C$37)*Assumptions!$C$5*(Assumptions!$C$30-1)/12))/(G$16*(1+Assumptions!$C$10+Assumptions!$C$34*(Assumptions!$C$30-1)/12)+Assumptions!$C$41*Assumptions!$C$34)</f>
        <v/>
      </c>
    </row>
    <row r="18">
      <c r="B18" s="150" t="n">
        <v>1.9</v>
      </c>
      <c r="C18" s="153">
        <f>(12*$B18*Assumptions!$C$5*(1-Assumptions!$C$41-Assumptions!$C$39)-Assumptions!$C$41*(Assumptions!$C$36+Assumptions!$C$37)*Assumptions!$C$5-C$16*(Assumptions!$C$19+(Assumptions!$C$28*Assumptions!$C$5)+(Assumptions!$C$29*$B18*Assumptions!$C$5*Assumptions!$C$25)+(Assumptions!$C$36+Assumptions!$C$37)*Assumptions!$C$5*(Assumptions!$C$30-1)/12))/(C$16*(1+Assumptions!$C$10+Assumptions!$C$34*(Assumptions!$C$30-1)/12)+Assumptions!$C$41*Assumptions!$C$34)</f>
        <v/>
      </c>
      <c r="D18" s="153">
        <f>(12*$B18*Assumptions!$C$5*(1-Assumptions!$C$41-Assumptions!$C$39)-Assumptions!$C$41*(Assumptions!$C$36+Assumptions!$C$37)*Assumptions!$C$5-D$16*(Assumptions!$C$19+(Assumptions!$C$28*Assumptions!$C$5)+(Assumptions!$C$29*$B18*Assumptions!$C$5*Assumptions!$C$25)+(Assumptions!$C$36+Assumptions!$C$37)*Assumptions!$C$5*(Assumptions!$C$30-1)/12))/(D$16*(1+Assumptions!$C$10+Assumptions!$C$34*(Assumptions!$C$30-1)/12)+Assumptions!$C$41*Assumptions!$C$34)</f>
        <v/>
      </c>
      <c r="E18" s="153">
        <f>(12*$B18*Assumptions!$C$5*(1-Assumptions!$C$41-Assumptions!$C$39)-Assumptions!$C$41*(Assumptions!$C$36+Assumptions!$C$37)*Assumptions!$C$5-E$16*(Assumptions!$C$19+(Assumptions!$C$28*Assumptions!$C$5)+(Assumptions!$C$29*$B18*Assumptions!$C$5*Assumptions!$C$25)+(Assumptions!$C$36+Assumptions!$C$37)*Assumptions!$C$5*(Assumptions!$C$30-1)/12))/(E$16*(1+Assumptions!$C$10+Assumptions!$C$34*(Assumptions!$C$30-1)/12)+Assumptions!$C$41*Assumptions!$C$34)</f>
        <v/>
      </c>
      <c r="F18" s="153">
        <f>(12*$B18*Assumptions!$C$5*(1-Assumptions!$C$41-Assumptions!$C$39)-Assumptions!$C$41*(Assumptions!$C$36+Assumptions!$C$37)*Assumptions!$C$5-F$16*(Assumptions!$C$19+(Assumptions!$C$28*Assumptions!$C$5)+(Assumptions!$C$29*$B18*Assumptions!$C$5*Assumptions!$C$25)+(Assumptions!$C$36+Assumptions!$C$37)*Assumptions!$C$5*(Assumptions!$C$30-1)/12))/(F$16*(1+Assumptions!$C$10+Assumptions!$C$34*(Assumptions!$C$30-1)/12)+Assumptions!$C$41*Assumptions!$C$34)</f>
        <v/>
      </c>
      <c r="G18" s="153">
        <f>(12*$B18*Assumptions!$C$5*(1-Assumptions!$C$41-Assumptions!$C$39)-Assumptions!$C$41*(Assumptions!$C$36+Assumptions!$C$37)*Assumptions!$C$5-G$16*(Assumptions!$C$19+(Assumptions!$C$28*Assumptions!$C$5)+(Assumptions!$C$29*$B18*Assumptions!$C$5*Assumptions!$C$25)+(Assumptions!$C$36+Assumptions!$C$37)*Assumptions!$C$5*(Assumptions!$C$30-1)/12))/(G$16*(1+Assumptions!$C$10+Assumptions!$C$34*(Assumptions!$C$30-1)/12)+Assumptions!$C$41*Assumptions!$C$34)</f>
        <v/>
      </c>
    </row>
    <row r="19">
      <c r="B19" s="150" t="n">
        <v>2</v>
      </c>
      <c r="C19" s="153">
        <f>(12*$B19*Assumptions!$C$5*(1-Assumptions!$C$41-Assumptions!$C$39)-Assumptions!$C$41*(Assumptions!$C$36+Assumptions!$C$37)*Assumptions!$C$5-C$16*(Assumptions!$C$19+(Assumptions!$C$28*Assumptions!$C$5)+(Assumptions!$C$29*$B19*Assumptions!$C$5*Assumptions!$C$25)+(Assumptions!$C$36+Assumptions!$C$37)*Assumptions!$C$5*(Assumptions!$C$30-1)/12))/(C$16*(1+Assumptions!$C$10+Assumptions!$C$34*(Assumptions!$C$30-1)/12)+Assumptions!$C$41*Assumptions!$C$34)</f>
        <v/>
      </c>
      <c r="D19" s="153">
        <f>(12*$B19*Assumptions!$C$5*(1-Assumptions!$C$41-Assumptions!$C$39)-Assumptions!$C$41*(Assumptions!$C$36+Assumptions!$C$37)*Assumptions!$C$5-D$16*(Assumptions!$C$19+(Assumptions!$C$28*Assumptions!$C$5)+(Assumptions!$C$29*$B19*Assumptions!$C$5*Assumptions!$C$25)+(Assumptions!$C$36+Assumptions!$C$37)*Assumptions!$C$5*(Assumptions!$C$30-1)/12))/(D$16*(1+Assumptions!$C$10+Assumptions!$C$34*(Assumptions!$C$30-1)/12)+Assumptions!$C$41*Assumptions!$C$34)</f>
        <v/>
      </c>
      <c r="E19" s="153">
        <f>(12*$B19*Assumptions!$C$5*(1-Assumptions!$C$41-Assumptions!$C$39)-Assumptions!$C$41*(Assumptions!$C$36+Assumptions!$C$37)*Assumptions!$C$5-E$16*(Assumptions!$C$19+(Assumptions!$C$28*Assumptions!$C$5)+(Assumptions!$C$29*$B19*Assumptions!$C$5*Assumptions!$C$25)+(Assumptions!$C$36+Assumptions!$C$37)*Assumptions!$C$5*(Assumptions!$C$30-1)/12))/(E$16*(1+Assumptions!$C$10+Assumptions!$C$34*(Assumptions!$C$30-1)/12)+Assumptions!$C$41*Assumptions!$C$34)</f>
        <v/>
      </c>
      <c r="F19" s="153">
        <f>(12*$B19*Assumptions!$C$5*(1-Assumptions!$C$41-Assumptions!$C$39)-Assumptions!$C$41*(Assumptions!$C$36+Assumptions!$C$37)*Assumptions!$C$5-F$16*(Assumptions!$C$19+(Assumptions!$C$28*Assumptions!$C$5)+(Assumptions!$C$29*$B19*Assumptions!$C$5*Assumptions!$C$25)+(Assumptions!$C$36+Assumptions!$C$37)*Assumptions!$C$5*(Assumptions!$C$30-1)/12))/(F$16*(1+Assumptions!$C$10+Assumptions!$C$34*(Assumptions!$C$30-1)/12)+Assumptions!$C$41*Assumptions!$C$34)</f>
        <v/>
      </c>
      <c r="G19" s="153">
        <f>(12*$B19*Assumptions!$C$5*(1-Assumptions!$C$41-Assumptions!$C$39)-Assumptions!$C$41*(Assumptions!$C$36+Assumptions!$C$37)*Assumptions!$C$5-G$16*(Assumptions!$C$19+(Assumptions!$C$28*Assumptions!$C$5)+(Assumptions!$C$29*$B19*Assumptions!$C$5*Assumptions!$C$25)+(Assumptions!$C$36+Assumptions!$C$37)*Assumptions!$C$5*(Assumptions!$C$30-1)/12))/(G$16*(1+Assumptions!$C$10+Assumptions!$C$34*(Assumptions!$C$30-1)/12)+Assumptions!$C$41*Assumptions!$C$34)</f>
        <v/>
      </c>
    </row>
    <row r="20">
      <c r="B20" s="150" t="n">
        <v>2.1</v>
      </c>
      <c r="C20" s="153">
        <f>(12*$B20*Assumptions!$C$5*(1-Assumptions!$C$41-Assumptions!$C$39)-Assumptions!$C$41*(Assumptions!$C$36+Assumptions!$C$37)*Assumptions!$C$5-C$16*(Assumptions!$C$19+(Assumptions!$C$28*Assumptions!$C$5)+(Assumptions!$C$29*$B20*Assumptions!$C$5*Assumptions!$C$25)+(Assumptions!$C$36+Assumptions!$C$37)*Assumptions!$C$5*(Assumptions!$C$30-1)/12))/(C$16*(1+Assumptions!$C$10+Assumptions!$C$34*(Assumptions!$C$30-1)/12)+Assumptions!$C$41*Assumptions!$C$34)</f>
        <v/>
      </c>
      <c r="D20" s="153">
        <f>(12*$B20*Assumptions!$C$5*(1-Assumptions!$C$41-Assumptions!$C$39)-Assumptions!$C$41*(Assumptions!$C$36+Assumptions!$C$37)*Assumptions!$C$5-D$16*(Assumptions!$C$19+(Assumptions!$C$28*Assumptions!$C$5)+(Assumptions!$C$29*$B20*Assumptions!$C$5*Assumptions!$C$25)+(Assumptions!$C$36+Assumptions!$C$37)*Assumptions!$C$5*(Assumptions!$C$30-1)/12))/(D$16*(1+Assumptions!$C$10+Assumptions!$C$34*(Assumptions!$C$30-1)/12)+Assumptions!$C$41*Assumptions!$C$34)</f>
        <v/>
      </c>
      <c r="E20" s="153">
        <f>(12*$B20*Assumptions!$C$5*(1-Assumptions!$C$41-Assumptions!$C$39)-Assumptions!$C$41*(Assumptions!$C$36+Assumptions!$C$37)*Assumptions!$C$5-E$16*(Assumptions!$C$19+(Assumptions!$C$28*Assumptions!$C$5)+(Assumptions!$C$29*$B20*Assumptions!$C$5*Assumptions!$C$25)+(Assumptions!$C$36+Assumptions!$C$37)*Assumptions!$C$5*(Assumptions!$C$30-1)/12))/(E$16*(1+Assumptions!$C$10+Assumptions!$C$34*(Assumptions!$C$30-1)/12)+Assumptions!$C$41*Assumptions!$C$34)</f>
        <v/>
      </c>
      <c r="F20" s="153">
        <f>(12*$B20*Assumptions!$C$5*(1-Assumptions!$C$41-Assumptions!$C$39)-Assumptions!$C$41*(Assumptions!$C$36+Assumptions!$C$37)*Assumptions!$C$5-F$16*(Assumptions!$C$19+(Assumptions!$C$28*Assumptions!$C$5)+(Assumptions!$C$29*$B20*Assumptions!$C$5*Assumptions!$C$25)+(Assumptions!$C$36+Assumptions!$C$37)*Assumptions!$C$5*(Assumptions!$C$30-1)/12))/(F$16*(1+Assumptions!$C$10+Assumptions!$C$34*(Assumptions!$C$30-1)/12)+Assumptions!$C$41*Assumptions!$C$34)</f>
        <v/>
      </c>
      <c r="G20" s="153">
        <f>(12*$B20*Assumptions!$C$5*(1-Assumptions!$C$41-Assumptions!$C$39)-Assumptions!$C$41*(Assumptions!$C$36+Assumptions!$C$37)*Assumptions!$C$5-G$16*(Assumptions!$C$19+(Assumptions!$C$28*Assumptions!$C$5)+(Assumptions!$C$29*$B20*Assumptions!$C$5*Assumptions!$C$25)+(Assumptions!$C$36+Assumptions!$C$37)*Assumptions!$C$5*(Assumptions!$C$30-1)/12))/(G$16*(1+Assumptions!$C$10+Assumptions!$C$34*(Assumptions!$C$30-1)/12)+Assumptions!$C$41*Assumptions!$C$34)</f>
        <v/>
      </c>
    </row>
    <row r="21">
      <c r="B21" s="150" t="n">
        <v>2.2</v>
      </c>
      <c r="C21" s="153">
        <f>(12*$B21*Assumptions!$C$5*(1-Assumptions!$C$41-Assumptions!$C$39)-Assumptions!$C$41*(Assumptions!$C$36+Assumptions!$C$37)*Assumptions!$C$5-C$16*(Assumptions!$C$19+(Assumptions!$C$28*Assumptions!$C$5)+(Assumptions!$C$29*$B21*Assumptions!$C$5*Assumptions!$C$25)+(Assumptions!$C$36+Assumptions!$C$37)*Assumptions!$C$5*(Assumptions!$C$30-1)/12))/(C$16*(1+Assumptions!$C$10+Assumptions!$C$34*(Assumptions!$C$30-1)/12)+Assumptions!$C$41*Assumptions!$C$34)</f>
        <v/>
      </c>
      <c r="D21" s="153">
        <f>(12*$B21*Assumptions!$C$5*(1-Assumptions!$C$41-Assumptions!$C$39)-Assumptions!$C$41*(Assumptions!$C$36+Assumptions!$C$37)*Assumptions!$C$5-D$16*(Assumptions!$C$19+(Assumptions!$C$28*Assumptions!$C$5)+(Assumptions!$C$29*$B21*Assumptions!$C$5*Assumptions!$C$25)+(Assumptions!$C$36+Assumptions!$C$37)*Assumptions!$C$5*(Assumptions!$C$30-1)/12))/(D$16*(1+Assumptions!$C$10+Assumptions!$C$34*(Assumptions!$C$30-1)/12)+Assumptions!$C$41*Assumptions!$C$34)</f>
        <v/>
      </c>
      <c r="E21" s="153">
        <f>(12*$B21*Assumptions!$C$5*(1-Assumptions!$C$41-Assumptions!$C$39)-Assumptions!$C$41*(Assumptions!$C$36+Assumptions!$C$37)*Assumptions!$C$5-E$16*(Assumptions!$C$19+(Assumptions!$C$28*Assumptions!$C$5)+(Assumptions!$C$29*$B21*Assumptions!$C$5*Assumptions!$C$25)+(Assumptions!$C$36+Assumptions!$C$37)*Assumptions!$C$5*(Assumptions!$C$30-1)/12))/(E$16*(1+Assumptions!$C$10+Assumptions!$C$34*(Assumptions!$C$30-1)/12)+Assumptions!$C$41*Assumptions!$C$34)</f>
        <v/>
      </c>
      <c r="F21" s="153">
        <f>(12*$B21*Assumptions!$C$5*(1-Assumptions!$C$41-Assumptions!$C$39)-Assumptions!$C$41*(Assumptions!$C$36+Assumptions!$C$37)*Assumptions!$C$5-F$16*(Assumptions!$C$19+(Assumptions!$C$28*Assumptions!$C$5)+(Assumptions!$C$29*$B21*Assumptions!$C$5*Assumptions!$C$25)+(Assumptions!$C$36+Assumptions!$C$37)*Assumptions!$C$5*(Assumptions!$C$30-1)/12))/(F$16*(1+Assumptions!$C$10+Assumptions!$C$34*(Assumptions!$C$30-1)/12)+Assumptions!$C$41*Assumptions!$C$34)</f>
        <v/>
      </c>
      <c r="G21" s="153">
        <f>(12*$B21*Assumptions!$C$5*(1-Assumptions!$C$41-Assumptions!$C$39)-Assumptions!$C$41*(Assumptions!$C$36+Assumptions!$C$37)*Assumptions!$C$5-G$16*(Assumptions!$C$19+(Assumptions!$C$28*Assumptions!$C$5)+(Assumptions!$C$29*$B21*Assumptions!$C$5*Assumptions!$C$25)+(Assumptions!$C$36+Assumptions!$C$37)*Assumptions!$C$5*(Assumptions!$C$30-1)/12))/(G$16*(1+Assumptions!$C$10+Assumptions!$C$34*(Assumptions!$C$30-1)/12)+Assumptions!$C$41*Assumptions!$C$34)</f>
        <v/>
      </c>
    </row>
    <row r="22">
      <c r="B22" s="150" t="n">
        <v>2.3</v>
      </c>
      <c r="C22" s="153">
        <f>(12*$B22*Assumptions!$C$5*(1-Assumptions!$C$41-Assumptions!$C$39)-Assumptions!$C$41*(Assumptions!$C$36+Assumptions!$C$37)*Assumptions!$C$5-C$16*(Assumptions!$C$19+(Assumptions!$C$28*Assumptions!$C$5)+(Assumptions!$C$29*$B22*Assumptions!$C$5*Assumptions!$C$25)+(Assumptions!$C$36+Assumptions!$C$37)*Assumptions!$C$5*(Assumptions!$C$30-1)/12))/(C$16*(1+Assumptions!$C$10+Assumptions!$C$34*(Assumptions!$C$30-1)/12)+Assumptions!$C$41*Assumptions!$C$34)</f>
        <v/>
      </c>
      <c r="D22" s="153">
        <f>(12*$B22*Assumptions!$C$5*(1-Assumptions!$C$41-Assumptions!$C$39)-Assumptions!$C$41*(Assumptions!$C$36+Assumptions!$C$37)*Assumptions!$C$5-D$16*(Assumptions!$C$19+(Assumptions!$C$28*Assumptions!$C$5)+(Assumptions!$C$29*$B22*Assumptions!$C$5*Assumptions!$C$25)+(Assumptions!$C$36+Assumptions!$C$37)*Assumptions!$C$5*(Assumptions!$C$30-1)/12))/(D$16*(1+Assumptions!$C$10+Assumptions!$C$34*(Assumptions!$C$30-1)/12)+Assumptions!$C$41*Assumptions!$C$34)</f>
        <v/>
      </c>
      <c r="E22" s="153">
        <f>(12*$B22*Assumptions!$C$5*(1-Assumptions!$C$41-Assumptions!$C$39)-Assumptions!$C$41*(Assumptions!$C$36+Assumptions!$C$37)*Assumptions!$C$5-E$16*(Assumptions!$C$19+(Assumptions!$C$28*Assumptions!$C$5)+(Assumptions!$C$29*$B22*Assumptions!$C$5*Assumptions!$C$25)+(Assumptions!$C$36+Assumptions!$C$37)*Assumptions!$C$5*(Assumptions!$C$30-1)/12))/(E$16*(1+Assumptions!$C$10+Assumptions!$C$34*(Assumptions!$C$30-1)/12)+Assumptions!$C$41*Assumptions!$C$34)</f>
        <v/>
      </c>
      <c r="F22" s="153">
        <f>(12*$B22*Assumptions!$C$5*(1-Assumptions!$C$41-Assumptions!$C$39)-Assumptions!$C$41*(Assumptions!$C$36+Assumptions!$C$37)*Assumptions!$C$5-F$16*(Assumptions!$C$19+(Assumptions!$C$28*Assumptions!$C$5)+(Assumptions!$C$29*$B22*Assumptions!$C$5*Assumptions!$C$25)+(Assumptions!$C$36+Assumptions!$C$37)*Assumptions!$C$5*(Assumptions!$C$30-1)/12))/(F$16*(1+Assumptions!$C$10+Assumptions!$C$34*(Assumptions!$C$30-1)/12)+Assumptions!$C$41*Assumptions!$C$34)</f>
        <v/>
      </c>
      <c r="G22" s="153">
        <f>(12*$B22*Assumptions!$C$5*(1-Assumptions!$C$41-Assumptions!$C$39)-Assumptions!$C$41*(Assumptions!$C$36+Assumptions!$C$37)*Assumptions!$C$5-G$16*(Assumptions!$C$19+(Assumptions!$C$28*Assumptions!$C$5)+(Assumptions!$C$29*$B22*Assumptions!$C$5*Assumptions!$C$25)+(Assumptions!$C$36+Assumptions!$C$37)*Assumptions!$C$5*(Assumptions!$C$30-1)/12))/(G$16*(1+Assumptions!$C$10+Assumptions!$C$34*(Assumptions!$C$30-1)/12)+Assumptions!$C$41*Assumptions!$C$34)</f>
        <v/>
      </c>
    </row>
    <row r="23"/>
    <row r="24"/>
    <row r="25">
      <c r="B25" s="59" t="inlineStr">
        <is>
          <t>3) LEVERED IRR: rent × purchase price (live, linked to Data Table on Assumptions tab)</t>
        </is>
      </c>
      <c r="C25" s="59" t="n"/>
      <c r="D25" s="59" t="n"/>
      <c r="E25" s="59" t="n"/>
      <c r="F25" s="59" t="n"/>
      <c r="G25" s="59" t="n"/>
    </row>
    <row r="26">
      <c r="B26" s="58" t="inlineStr">
        <is>
          <t>Linked to the live Data Table on the Assumptions tab (F3:K9). Updates automatically when assumptions change.</t>
        </is>
      </c>
    </row>
    <row r="27">
      <c r="B27" s="148" t="inlineStr">
        <is>
          <t>Rent ($/SF/mo NNN) ↓</t>
        </is>
      </c>
      <c r="C27" s="149" t="n">
        <v>8500000</v>
      </c>
      <c r="D27" s="149" t="n">
        <v>9000000</v>
      </c>
      <c r="E27" s="149" t="n">
        <v>9500000</v>
      </c>
      <c r="F27" s="149" t="n">
        <v>10000000</v>
      </c>
      <c r="G27" s="149" t="n">
        <v>10800000</v>
      </c>
    </row>
    <row r="28">
      <c r="B28" s="150" t="n">
        <v>1.8</v>
      </c>
      <c r="C28" s="154">
        <f>Assumptions!G4</f>
        <v/>
      </c>
      <c r="D28" s="154">
        <f>Assumptions!H4</f>
        <v/>
      </c>
      <c r="E28" s="154">
        <f>Assumptions!I4</f>
        <v/>
      </c>
      <c r="F28" s="154">
        <f>Assumptions!J4</f>
        <v/>
      </c>
      <c r="G28" s="154">
        <f>Assumptions!K4</f>
        <v/>
      </c>
    </row>
    <row r="29">
      <c r="B29" s="150" t="n">
        <v>1.9</v>
      </c>
      <c r="C29" s="154">
        <f>Assumptions!G5</f>
        <v/>
      </c>
      <c r="D29" s="154">
        <f>Assumptions!H5</f>
        <v/>
      </c>
      <c r="E29" s="154">
        <f>Assumptions!I5</f>
        <v/>
      </c>
      <c r="F29" s="154">
        <f>Assumptions!J5</f>
        <v/>
      </c>
      <c r="G29" s="154">
        <f>Assumptions!K5</f>
        <v/>
      </c>
    </row>
    <row r="30">
      <c r="B30" s="150" t="n">
        <v>2</v>
      </c>
      <c r="C30" s="154">
        <f>Assumptions!G6</f>
        <v/>
      </c>
      <c r="D30" s="154">
        <f>Assumptions!H6</f>
        <v/>
      </c>
      <c r="E30" s="154">
        <f>Assumptions!I6</f>
        <v/>
      </c>
      <c r="F30" s="154">
        <f>Assumptions!J6</f>
        <v/>
      </c>
      <c r="G30" s="154">
        <f>Assumptions!K6</f>
        <v/>
      </c>
    </row>
    <row r="31">
      <c r="B31" s="150" t="n">
        <v>2.1</v>
      </c>
      <c r="C31" s="154">
        <f>Assumptions!G7</f>
        <v/>
      </c>
      <c r="D31" s="154">
        <f>Assumptions!H7</f>
        <v/>
      </c>
      <c r="E31" s="154">
        <f>Assumptions!I7</f>
        <v/>
      </c>
      <c r="F31" s="154">
        <f>Assumptions!J7</f>
        <v/>
      </c>
      <c r="G31" s="154">
        <f>Assumptions!K7</f>
        <v/>
      </c>
    </row>
    <row r="32">
      <c r="B32" s="150" t="n">
        <v>2.2</v>
      </c>
      <c r="C32" s="154">
        <f>Assumptions!G8</f>
        <v/>
      </c>
      <c r="D32" s="154">
        <f>Assumptions!H8</f>
        <v/>
      </c>
      <c r="E32" s="154">
        <f>Assumptions!I8</f>
        <v/>
      </c>
      <c r="F32" s="154">
        <f>Assumptions!J8</f>
        <v/>
      </c>
      <c r="G32" s="154">
        <f>Assumptions!K8</f>
        <v/>
      </c>
    </row>
    <row r="33">
      <c r="B33" s="150" t="n">
        <v>2.3</v>
      </c>
      <c r="C33" s="154">
        <f>Assumptions!G9</f>
        <v/>
      </c>
      <c r="D33" s="154">
        <f>Assumptions!H9</f>
        <v/>
      </c>
      <c r="E33" s="154">
        <f>Assumptions!I9</f>
        <v/>
      </c>
      <c r="F33" s="154">
        <f>Assumptions!J9</f>
        <v/>
      </c>
      <c r="G33" s="154">
        <f>Assumptions!K9</f>
        <v/>
      </c>
    </row>
    <row r="34"/>
    <row r="35">
      <c r="B35" s="58" t="inlineStr">
        <is>
          <t>Shading: green = levered IRR ≥ 12% (typical value-add target); red = below 6%. Grid 1: green = at/above target yield on cost; red = below exit cap.</t>
        </is>
      </c>
    </row>
  </sheetData>
  <conditionalFormatting sqref="C28:G33">
    <cfRule type="cellIs" priority="2" operator="greaterThanOrEqual" dxfId="1">
      <formula>0.12</formula>
    </cfRule>
    <cfRule type="cellIs" priority="3" operator="lessThan" dxfId="0">
      <formula>0.06</formula>
    </cfRule>
  </conditionalFormatting>
  <conditionalFormatting sqref="C6:G11">
    <cfRule type="cellIs" priority="3" operator="greaterThanOrEqual" dxfId="4">
      <formula>Assumptions!$C$55</formula>
    </cfRule>
    <cfRule type="cellIs" priority="4" operator="lessThan" dxfId="5">
      <formula>Assumptions!$C$51</formula>
    </cfRule>
  </conditionalFormatting>
  <pageMargins left="0.75" right="0.75" top="1" bottom="1" header="0.511811023622047" footer="0.511811023622047"/>
  <pageSetup orientation="landscape" paperSize="9" fitToHeight="0" fitToWidth="1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Shaurya Kalbhor</dc:creator>
  <dc:language xmlns:dc="http://purl.org/dc/elements/1.1/">en-US</dc:language>
  <dcterms:created xmlns:dcterms="http://purl.org/dc/terms/" xmlns:xsi="http://www.w3.org/2001/XMLSchema-instance" xsi:type="dcterms:W3CDTF">2026-09-25T08:01:35Z</dcterms:created>
  <dcterms:modified xmlns:dcterms="http://purl.org/dc/terms/" xmlns:xsi="http://www.w3.org/2001/XMLSchema-instance" xsi:type="dcterms:W3CDTF">2026-09-25T11:01:35Z</dcterms:modified>
  <cp:lastModifiedBy>Shaurya Kalbhor</cp:lastModifiedBy>
  <cp:revision>0</cp:revision>
</cp:coreProperties>
</file>