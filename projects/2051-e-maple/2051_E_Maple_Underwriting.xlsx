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k/Downloads/"/>
    </mc:Choice>
  </mc:AlternateContent>
  <xr:revisionPtr revIDLastSave="0" documentId="13_ncr:1_{484A8A00-D83C-2146-9097-47F0CD9E5797}" xr6:coauthVersionLast="47" xr6:coauthVersionMax="47" xr10:uidLastSave="{00000000-0000-0000-0000-000000000000}"/>
  <bookViews>
    <workbookView xWindow="0" yWindow="0" windowWidth="38400" windowHeight="21600" tabRatio="500" activeTab="6" xr2:uid="{00000000-000D-0000-FFFF-FFFF00000000}"/>
  </bookViews>
  <sheets>
    <sheet name="Assumptions" sheetId="1" r:id="rId1"/>
    <sheet name="Comps" sheetId="2" r:id="rId2"/>
    <sheet name="Sources and Uses" sheetId="3" r:id="rId3"/>
    <sheet name="Cash Flow" sheetId="4" r:id="rId4"/>
    <sheet name="Annual Summary" sheetId="5" r:id="rId5"/>
    <sheet name="Returns" sheetId="6" r:id="rId6"/>
    <sheet name="Sensitivity" sheetId="7" r:id="rId7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<sst xmlns="http://schemas.openxmlformats.org/spreadsheetml/2006/main" count="275" uniqueCount="246">
  <si>
    <t xml:space="preserve">2051 E MAPLE AVE - VALUE ADD UNDERWRITING </t>
  </si>
  <si>
    <t>NOTES / SOURCE</t>
  </si>
  <si>
    <t>PROPERTY</t>
  </si>
  <si>
    <t>ADDRESS</t>
  </si>
  <si>
    <t>2051 E Maple Ave, El Segundo</t>
  </si>
  <si>
    <t>BUILDING SF</t>
  </si>
  <si>
    <t>LoopNet / Colliers brochure</t>
  </si>
  <si>
    <t>LAND SF</t>
  </si>
  <si>
    <t>1.20 AC per LoopNet</t>
  </si>
  <si>
    <t>YEAR BUILT</t>
  </si>
  <si>
    <t>LoopNet; Class C</t>
  </si>
  <si>
    <t>PURCHASE PRICE</t>
  </si>
  <si>
    <t>LoopNet asking price; on market since 4/13/2023</t>
  </si>
  <si>
    <t>PRICE PER BUILDING SF</t>
  </si>
  <si>
    <t>CLOSING COSTS (%)</t>
  </si>
  <si>
    <t>Estimate: title, escrow, legal, due diligence</t>
  </si>
  <si>
    <t>CLOSING COSTS ($)</t>
  </si>
  <si>
    <t xml:space="preserve">ANALYSIS  DATE </t>
  </si>
  <si>
    <t>Assumed closing date</t>
  </si>
  <si>
    <t>RENOVATION</t>
  </si>
  <si>
    <t>RENOVATION COST /SF</t>
  </si>
  <si>
    <t>Estimate for 1953 Class C (roof, HVAC, power, office, seismic check); verify with contractor bids</t>
  </si>
  <si>
    <t xml:space="preserve"> RENOVATION BUDGET</t>
  </si>
  <si>
    <t>CONTINGENCY (%)</t>
  </si>
  <si>
    <t>Standard contingency for older building</t>
  </si>
  <si>
    <t>CONTINGENCY ($)</t>
  </si>
  <si>
    <t>TOTAL RENOVATION</t>
  </si>
  <si>
    <t>RENOVATION MONTHS</t>
  </si>
  <si>
    <t>Assumed renovation schedule</t>
  </si>
  <si>
    <t xml:space="preserve">LEASING </t>
  </si>
  <si>
    <t xml:space="preserve"> RENT($/SF/MO,NNN)</t>
  </si>
  <si>
    <t>Linked to Comps tab: avg of 3 NNN asking comps = $1.98</t>
  </si>
  <si>
    <t xml:space="preserve"> RENT GROWTH</t>
  </si>
  <si>
    <t>Typical LA industrial annual escalator (3-4%)</t>
  </si>
  <si>
    <t>LEASE TERM (MONTHS)</t>
  </si>
  <si>
    <t>5-year lease, matches comp terms</t>
  </si>
  <si>
    <t>LEASE UP MONTHS (AFTER RENO)</t>
  </si>
  <si>
    <t>Conservative: 3 nearby comps currently vacant</t>
  </si>
  <si>
    <t>FREE RENT (MONTHS)</t>
  </si>
  <si>
    <t>Typical concession for 5-year lease</t>
  </si>
  <si>
    <t>TENANT IMPROV. ($/SF)</t>
  </si>
  <si>
    <t>Allowance for tenant fit-out</t>
  </si>
  <si>
    <t>LEASING COMMIS. (% OF BASE RENT)</t>
  </si>
  <si>
    <t>% of total base rent over lease term (simplified, no escalations)</t>
  </si>
  <si>
    <t>LEASE START (MONTH)</t>
  </si>
  <si>
    <t>Formula: renovation + lease-up + 1</t>
  </si>
  <si>
    <t>RENT START MONTH</t>
  </si>
  <si>
    <t>Formula: lease start + free rent</t>
  </si>
  <si>
    <t xml:space="preserve">OPERATING COST </t>
  </si>
  <si>
    <t>PROPERTY TAX RATE</t>
  </si>
  <si>
    <t>~1.1-1.2% of purchase price; CA reassesses at sale (Prop 13)</t>
  </si>
  <si>
    <t>PROPERTY TAX ($/YR)</t>
  </si>
  <si>
    <t>INSURANCE ($/SF/YR)</t>
  </si>
  <si>
    <t>Placeholder; verify with insurance quote</t>
  </si>
  <si>
    <t>MAINTENANCE ($/SF/YR)</t>
  </si>
  <si>
    <t>Placeholder; verify</t>
  </si>
  <si>
    <t>TOTAL EXPENSE ($/SF/MO)</t>
  </si>
  <si>
    <t>Paid by owner while vacant; reimbursed by tenant under NNN lease</t>
  </si>
  <si>
    <t>MANAGEMENT FEES</t>
  </si>
  <si>
    <t>% of base rent; not reimbursed</t>
  </si>
  <si>
    <t>RESERVES ($/SF/YR)</t>
  </si>
  <si>
    <t>Capital reserves; not reimbursed</t>
  </si>
  <si>
    <t>VACANCY AND CL</t>
  </si>
  <si>
    <t>General vacancy / credit allowance after lease-up</t>
  </si>
  <si>
    <t>FINANCING</t>
  </si>
  <si>
    <t>LOAN TO COST</t>
  </si>
  <si>
    <t>Loan sized on total cost before financing</t>
  </si>
  <si>
    <t>INTEREST RATE</t>
  </si>
  <si>
    <t>Placeholder; verify with lender quotes</t>
  </si>
  <si>
    <t>LOAN TYPE</t>
  </si>
  <si>
    <t>INTEREST ONLY</t>
  </si>
  <si>
    <t>Full loan funded at closing (simplification)</t>
  </si>
  <si>
    <t>LOAN FEE</t>
  </si>
  <si>
    <t>Lender origination fee</t>
  </si>
  <si>
    <t>EXIT</t>
  </si>
  <si>
    <t>HOLD PERIOD (MONTHS)</t>
  </si>
  <si>
    <t>5-year hold</t>
  </si>
  <si>
    <t>EXIT CAP RATE</t>
  </si>
  <si>
    <t>Q2 2026 broker reports: LA industrial caps mid-5% to 6%</t>
  </si>
  <si>
    <t>SELLING COSTS</t>
  </si>
  <si>
    <t>Broker fee + transfer costs</t>
  </si>
  <si>
    <t>RETURN TARGET</t>
  </si>
  <si>
    <t>TARGET YIELD ON COST</t>
  </si>
  <si>
    <t>~50 bps over exit cap to compensate for lease-up and renovation risk</t>
  </si>
  <si>
    <t>SUBMARKET</t>
  </si>
  <si>
    <t>ZONING</t>
  </si>
  <si>
    <t>SPACE SF</t>
  </si>
  <si>
    <t>CLEAR HEIGHT</t>
  </si>
  <si>
    <t>POWER (AMPS)</t>
  </si>
  <si>
    <t>OFFICE %</t>
  </si>
  <si>
    <t>ASKING RENT</t>
  </si>
  <si>
    <t>RENT TYPE</t>
  </si>
  <si>
    <t>TERM</t>
  </si>
  <si>
    <t>ASKING OR SIGNED</t>
  </si>
  <si>
    <t>NOTES</t>
  </si>
  <si>
    <t>1924 E Maple Ave</t>
  </si>
  <si>
    <t>EL SEGUNDO</t>
  </si>
  <si>
    <t>CO</t>
  </si>
  <si>
    <t>1955 (renov. 2025)</t>
  </si>
  <si>
    <t>13'</t>
  </si>
  <si>
    <t>NNN</t>
  </si>
  <si>
    <t>5 YRS</t>
  </si>
  <si>
    <t>ASKING</t>
  </si>
  <si>
    <t>Renovated 2025; 52 parking spaces</t>
  </si>
  <si>
    <t>4928 W Rosecrans</t>
  </si>
  <si>
    <t>HAWTHORNE</t>
  </si>
  <si>
    <t>M2</t>
  </si>
  <si>
    <t>22'</t>
  </si>
  <si>
    <t>Exterior renovated; multi-tenant park; low power</t>
  </si>
  <si>
    <t>1921 E Mariposa Ave</t>
  </si>
  <si>
    <t>16-20' (EST)</t>
  </si>
  <si>
    <t>N/A</t>
  </si>
  <si>
    <t>SHORT TERM OK</t>
  </si>
  <si>
    <t>Heavy power; land size differs (2.00 vs 2.92 AC)</t>
  </si>
  <si>
    <t>AVG RENT</t>
  </si>
  <si>
    <t>SUBJECT RENT</t>
  </si>
  <si>
    <t>Avg of comps; renovated condition offsets lower clear height and parking; M2 zoning a modest advantage</t>
  </si>
  <si>
    <t xml:space="preserve"> SOURCES AND USES </t>
  </si>
  <si>
    <t>AMOUNT</t>
  </si>
  <si>
    <t xml:space="preserve"> PERCENT OF TOTAL</t>
  </si>
  <si>
    <t>PER SF</t>
  </si>
  <si>
    <t>USES</t>
  </si>
  <si>
    <t>CLOSING COSTS</t>
  </si>
  <si>
    <t xml:space="preserve">RENOVATION </t>
  </si>
  <si>
    <t>TENANT IMPROV.</t>
  </si>
  <si>
    <t>LEASING COMMISSION</t>
  </si>
  <si>
    <t>CARRY COST WHILE VACANT</t>
  </si>
  <si>
    <t>TOTAL BEFORE FINANCING</t>
  </si>
  <si>
    <t>TOTAL USES</t>
  </si>
  <si>
    <t>SOURCES</t>
  </si>
  <si>
    <t>LOAN AMOUNT</t>
  </si>
  <si>
    <t>EQUITY</t>
  </si>
  <si>
    <t>TOTAL SOURCES</t>
  </si>
  <si>
    <t>CHECK</t>
  </si>
  <si>
    <t>MONTHLY CASH FLOW</t>
  </si>
  <si>
    <t>Month 0 = closing</t>
  </si>
  <si>
    <t>Month 61: NOI only, used for exit value</t>
  </si>
  <si>
    <t>MONTH</t>
  </si>
  <si>
    <t>DATE</t>
  </si>
  <si>
    <t>LEASE YEAR</t>
  </si>
  <si>
    <t>REVENUE</t>
  </si>
  <si>
    <t>Base rent</t>
  </si>
  <si>
    <t>Expense reimbursements</t>
  </si>
  <si>
    <t>Vacancy and credit loss</t>
  </si>
  <si>
    <t>EFFECTIVE GROSS INCOME</t>
  </si>
  <si>
    <t>EXPENSES</t>
  </si>
  <si>
    <t>Operating expenses (taxes, insurance, maintenance)</t>
  </si>
  <si>
    <t>Management fee</t>
  </si>
  <si>
    <t>TOTAL EXPENSES</t>
  </si>
  <si>
    <t>NET OPERATING INCOME</t>
  </si>
  <si>
    <t>CAPITAL COSTS</t>
  </si>
  <si>
    <t>Renovation</t>
  </si>
  <si>
    <t>Tenant improvements</t>
  </si>
  <si>
    <t>Leasing commissions</t>
  </si>
  <si>
    <t>Reserves</t>
  </si>
  <si>
    <t>TOTAL CAPITAL COSTS</t>
  </si>
  <si>
    <t>PURCHASE AND SALE</t>
  </si>
  <si>
    <t>Purchase price + closing costs</t>
  </si>
  <si>
    <t>Net sale proceeds</t>
  </si>
  <si>
    <t>UNLEVERED CASH FLOW</t>
  </si>
  <si>
    <t>Loan proceeds</t>
  </si>
  <si>
    <t>Loan fee</t>
  </si>
  <si>
    <t>Interest (interest-only)</t>
  </si>
  <si>
    <t>Loan repayment</t>
  </si>
  <si>
    <t>LEVERED CASH FLOW</t>
  </si>
  <si>
    <t>Cumulative levered cash flow</t>
  </si>
  <si>
    <t>ANNUAL SUMMARY</t>
  </si>
  <si>
    <t>PERIOD</t>
  </si>
  <si>
    <t>CLOSING</t>
  </si>
  <si>
    <t>YEAR 1</t>
  </si>
  <si>
    <t>YEAR 2</t>
  </si>
  <si>
    <t>YEAR 3</t>
  </si>
  <si>
    <t>YEAR 4</t>
  </si>
  <si>
    <t>YEAR 5</t>
  </si>
  <si>
    <t>TOTAL</t>
  </si>
  <si>
    <t>Start month</t>
  </si>
  <si>
    <t>End month</t>
  </si>
  <si>
    <t>Operating expenses</t>
  </si>
  <si>
    <t>Capital costs</t>
  </si>
  <si>
    <t>Purchase + closing</t>
  </si>
  <si>
    <t>Interest</t>
  </si>
  <si>
    <t>Check: levered total = Cash Flow total</t>
  </si>
  <si>
    <t>RETURNS SUMMARY</t>
  </si>
  <si>
    <t>DEAL BASIS</t>
  </si>
  <si>
    <t>Purchase price</t>
  </si>
  <si>
    <t>LoopNet asking</t>
  </si>
  <si>
    <t>Purchase price per SF</t>
  </si>
  <si>
    <t>Total project cost (before financing)</t>
  </si>
  <si>
    <t>Sources and Uses</t>
  </si>
  <si>
    <t>All-in cost per SF</t>
  </si>
  <si>
    <t>Purchase + renovation + leasing + carry</t>
  </si>
  <si>
    <t>STABILIZED OPERATIONS</t>
  </si>
  <si>
    <t>Stabilized NOI (annualized, first rent month)</t>
  </si>
  <si>
    <t>NOI in rent start month x 12</t>
  </si>
  <si>
    <t>Yield on cost</t>
  </si>
  <si>
    <t>Stabilized NOI / total project cost</t>
  </si>
  <si>
    <t>Exit cap rate</t>
  </si>
  <si>
    <t>Development spread (yield on cost - exit cap)</t>
  </si>
  <si>
    <t>Negative = renovation does not create value at this price</t>
  </si>
  <si>
    <t>Forward 12-month NOI at sale</t>
  </si>
  <si>
    <t>Month 61 NOI x 12</t>
  </si>
  <si>
    <t>Gross sale price</t>
  </si>
  <si>
    <t>Gross sale price per SF</t>
  </si>
  <si>
    <t>Net sale proceeds (after selling costs)</t>
  </si>
  <si>
    <t>UNLEVERED RETURNS</t>
  </si>
  <si>
    <t>Unlevered profit</t>
  </si>
  <si>
    <t>Unlevered IRR</t>
  </si>
  <si>
    <t>XIRR on monthly cash flows</t>
  </si>
  <si>
    <t>Unlevered IRR (monthly IRR check)</t>
  </si>
  <si>
    <t>Should be close to XIRR</t>
  </si>
  <si>
    <t>Unlevered equity multiple</t>
  </si>
  <si>
    <t>LEVERED RETURNS</t>
  </si>
  <si>
    <t>Levered profit</t>
  </si>
  <si>
    <t>Levered IRR</t>
  </si>
  <si>
    <t>Levered IRR (monthly IRR check)</t>
  </si>
  <si>
    <t>Levered equity multiple</t>
  </si>
  <si>
    <t>Peak equity required</t>
  </si>
  <si>
    <t>Includes interest carry during renovation and lease-up (not in Sources and Uses)</t>
  </si>
  <si>
    <t>DEBT METRICS</t>
  </si>
  <si>
    <t>Loan amount</t>
  </si>
  <si>
    <t>Annual interest</t>
  </si>
  <si>
    <t>DSCR at stabilization</t>
  </si>
  <si>
    <t>Stabilized NOI / annual interest; lenders typically want 1.25x+</t>
  </si>
  <si>
    <t>Debt yield at stabilization</t>
  </si>
  <si>
    <t>Stabilized NOI / loan</t>
  </si>
  <si>
    <t>MAXIMUM PURCHASE PRICE</t>
  </si>
  <si>
    <t>Target yield on cost</t>
  </si>
  <si>
    <t>Input on Assumptions tab</t>
  </si>
  <si>
    <t>Maximum price to hit target yield on cost</t>
  </si>
  <si>
    <t>Solved algebraically; all other assumptions held constant</t>
  </si>
  <si>
    <t>Discount to asking price</t>
  </si>
  <si>
    <t>Check: yield on cost at maximum price</t>
  </si>
  <si>
    <t>Should equal target</t>
  </si>
  <si>
    <t>CONCLUSION (base case)</t>
  </si>
  <si>
    <t>At the $10.8M asking price, stabilized yield on cost (~5.2%) is below the 6.0% exit cap and the 6.25% loan rate, so renovation destroys value and leverage hurts returns (levered IRR ~0%). Even at $2.30 rents, levered IRR is only ~7%. A ~12% levered IRR needs roughly $9.5M at $2.30 rents or $9.0M at $2.20 (see Sensitivity); at $2.00 rents, a 6.5% yield on cost requires ~$8.2M.</t>
  </si>
  <si>
    <t>SENSITIVITY ANALYSIS</t>
  </si>
  <si>
    <t>Blue = scenario values you can edit. Base case: $2.00 rent, $10.8M price.</t>
  </si>
  <si>
    <t>1) YIELD ON COST: rent × purchase price (live formulas)</t>
  </si>
  <si>
    <t>Stabilized NOI ÷ total project cost; all other assumptions from Assumptions tab</t>
  </si>
  <si>
    <t>Rent ($/SF/mo NNN) ↓</t>
  </si>
  <si>
    <t>2) MAXIMUM PURCHASE PRICE: rent × target yield on cost (live formulas)</t>
  </si>
  <si>
    <t>Price at which the deal hits each target yield on cost</t>
  </si>
  <si>
    <t>3) LEVERED IRR: rent × purchase price (live)</t>
  </si>
  <si>
    <t>Linked to the live Data Table on the Assumptions tab (F3:K9). Updates automatically when assumptions change.</t>
  </si>
  <si>
    <t>Shading: green = levered IRR ≥ 12% (typical value-add target); red = below 6%. Grid 1: green = at/above target yield on cost; red = below exit cap.</t>
  </si>
  <si>
    <t>LEVERED IRR : RENT (DOWN) X PURCHASE PRICE (ACROSS)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</si>
</sst>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\$#,##0"/>
    <numFmt numFmtId="165" formatCode="m/d/yyyy"/>
    <numFmt numFmtId="166" formatCode="\$#,##0.00"/>
    <numFmt numFmtId="167" formatCode="0;\-0;\-"/>
    <numFmt numFmtId="168" formatCode="\$#,##0;&quot;($&quot;#,##0\);\-"/>
    <numFmt numFmtId="169" formatCode="\$#,##0.00;&quot;($&quot;#,##0.00\);\-"/>
    <numFmt numFmtId="170" formatCode="0.00\x"/>
    <numFmt numFmtId="171" formatCode="0.0%;\(0.0%\);\-"/>
    <numFmt numFmtId="172" formatCode="\$0.00"/>
    <numFmt numFmtId="173" formatCode="0.0%;\(0.0%\)"/>
    <numFmt numFmtId="174" formatCode="&quot;$&quot;#,##0.00"/>
    <numFmt numFmtId="175" formatCode="0.0%"/>
  </numFmts>
  <fonts count="13" x14ac:knownFonts="1">
    <font>
      <sz val="12"/>
      <color theme="1"/>
      <name val="Aptos Narrow"/>
      <family val="2"/>
      <charset val="1"/>
    </font>
    <font>
      <sz val="12"/>
      <color theme="3" tint="0.49989318521683401"/>
      <name val="Aptos Narrow"/>
    </font>
    <font>
      <b/>
      <sz val="16"/>
      <color theme="1"/>
      <name val="Aptos Narrow (Body)"/>
      <charset val="1"/>
    </font>
    <font>
      <b/>
      <sz val="12"/>
      <color rgb="FF000000"/>
      <name val="Aptos Narrow"/>
    </font>
    <font>
      <b/>
      <sz val="12"/>
      <color theme="1"/>
      <name val="Aptos Narrow"/>
    </font>
    <font>
      <sz val="12"/>
      <color rgb="FF0000FF"/>
      <name val="Aptos Narrow"/>
    </font>
    <font>
      <sz val="12"/>
      <color theme="3" tint="0.49989318521683401"/>
      <name val="Aptos Narrow"/>
      <family val="2"/>
      <charset val="1"/>
    </font>
    <font>
      <i/>
      <sz val="11"/>
      <color rgb="FF595959"/>
      <name val="Aptos Narrow"/>
    </font>
    <font>
      <sz val="12"/>
      <color rgb="FF000000"/>
      <name val="Aptos Narrow"/>
    </font>
    <font>
      <sz val="12"/>
      <color theme="1"/>
      <name val="Aptos Narrow"/>
    </font>
    <font>
      <b/>
      <sz val="16"/>
      <name val="Aptos Narrow"/>
    </font>
    <font>
      <b/>
      <sz val="12"/>
      <color rgb="FFFFFFFF"/>
      <name val="Aptos Narrow"/>
    </font>
    <font>
      <sz val="12"/>
      <color rgb="FF00206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3A32"/>
        <bgColor rgb="FF333300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7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3" fontId="5" fillId="0" borderId="0" xfId="0" applyNumberFormat="1" applyFont="1"/>
    <xf numFmtId="0" fontId="7" fillId="0" borderId="0" xfId="0" applyFont="1"/>
    <xf numFmtId="164" fontId="5" fillId="0" borderId="0" xfId="0" applyNumberFormat="1" applyFont="1"/>
    <xf numFmtId="164" fontId="8" fillId="0" borderId="0" xfId="0" applyNumberFormat="1" applyFont="1"/>
    <xf numFmtId="9" fontId="5" fillId="0" borderId="0" xfId="0" applyNumberFormat="1" applyFont="1"/>
    <xf numFmtId="165" fontId="5" fillId="0" borderId="0" xfId="0" applyNumberFormat="1" applyFont="1"/>
    <xf numFmtId="166" fontId="8" fillId="0" borderId="0" xfId="0" applyNumberFormat="1" applyFont="1"/>
    <xf numFmtId="10" fontId="5" fillId="0" borderId="0" xfId="0" applyNumberFormat="1" applyFont="1"/>
    <xf numFmtId="0" fontId="8" fillId="0" borderId="0" xfId="0" applyFont="1"/>
    <xf numFmtId="166" fontId="5" fillId="0" borderId="0" xfId="0" applyNumberFormat="1" applyFont="1"/>
    <xf numFmtId="3" fontId="0" fillId="0" borderId="0" xfId="0" applyNumberFormat="1"/>
    <xf numFmtId="9" fontId="0" fillId="0" borderId="0" xfId="0" applyNumberFormat="1"/>
    <xf numFmtId="166" fontId="0" fillId="0" borderId="0" xfId="0" applyNumberFormat="1"/>
    <xf numFmtId="3" fontId="4" fillId="0" borderId="0" xfId="0" applyNumberFormat="1" applyFont="1"/>
    <xf numFmtId="9" fontId="4" fillId="0" borderId="0" xfId="0" applyNumberFormat="1" applyFont="1"/>
    <xf numFmtId="166" fontId="4" fillId="0" borderId="0" xfId="0" applyNumberFormat="1" applyFont="1"/>
    <xf numFmtId="164" fontId="0" fillId="0" borderId="0" xfId="0" applyNumberFormat="1"/>
    <xf numFmtId="10" fontId="0" fillId="0" borderId="0" xfId="0" applyNumberFormat="1"/>
    <xf numFmtId="0" fontId="9" fillId="0" borderId="0" xfId="0" applyFont="1"/>
    <xf numFmtId="0" fontId="10" fillId="0" borderId="0" xfId="0" applyFont="1"/>
    <xf numFmtId="0" fontId="11" fillId="2" borderId="0" xfId="0" applyFont="1" applyFill="1"/>
    <xf numFmtId="1" fontId="11" fillId="2" borderId="0" xfId="0" applyNumberFormat="1" applyFont="1" applyFill="1" applyAlignment="1">
      <alignment horizontal="center"/>
    </xf>
    <xf numFmtId="17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8" fontId="8" fillId="0" borderId="0" xfId="0" applyNumberFormat="1" applyFont="1"/>
    <xf numFmtId="0" fontId="0" fillId="0" borderId="1" xfId="0" applyBorder="1"/>
    <xf numFmtId="168" fontId="3" fillId="0" borderId="1" xfId="0" applyNumberFormat="1" applyFont="1" applyBorder="1"/>
    <xf numFmtId="0" fontId="11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/>
    <xf numFmtId="168" fontId="7" fillId="0" borderId="0" xfId="0" applyNumberFormat="1" applyFont="1"/>
    <xf numFmtId="169" fontId="8" fillId="0" borderId="0" xfId="0" applyNumberFormat="1" applyFont="1"/>
    <xf numFmtId="10" fontId="3" fillId="3" borderId="0" xfId="0" applyNumberFormat="1" applyFont="1" applyFill="1"/>
    <xf numFmtId="10" fontId="8" fillId="0" borderId="0" xfId="0" applyNumberFormat="1" applyFont="1"/>
    <xf numFmtId="170" fontId="8" fillId="0" borderId="0" xfId="0" applyNumberFormat="1" applyFont="1"/>
    <xf numFmtId="168" fontId="3" fillId="3" borderId="0" xfId="0" applyNumberFormat="1" applyFont="1" applyFill="1"/>
    <xf numFmtId="171" fontId="8" fillId="0" borderId="0" xfId="0" applyNumberFormat="1" applyFont="1"/>
    <xf numFmtId="164" fontId="11" fillId="2" borderId="0" xfId="0" applyNumberFormat="1" applyFont="1" applyFill="1" applyAlignment="1">
      <alignment horizontal="center"/>
    </xf>
    <xf numFmtId="172" fontId="5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0" fontId="11" fillId="2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72" fontId="8" fillId="0" borderId="0" xfId="0" applyNumberFormat="1" applyFont="1" applyAlignment="1">
      <alignment horizontal="center"/>
    </xf>
    <xf numFmtId="173" fontId="8" fillId="0" borderId="0" xfId="0" applyNumberFormat="1" applyFont="1" applyAlignment="1">
      <alignment horizontal="center"/>
    </xf>
    <xf numFmtId="166" fontId="9" fillId="0" borderId="0" xfId="0" applyNumberFormat="1" applyFont="1"/>
    <xf numFmtId="166" fontId="12" fillId="0" borderId="0" xfId="0" applyNumberFormat="1" applyFont="1"/>
    <xf numFmtId="174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4"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1F3A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zoomScale="83" zoomScaleNormal="83" workbookViewId="0">
      <selection activeCell="J24" sqref="J24"/>
    </sheetView>
  </sheetViews>
  <sheetFormatPr baseColWidth="10" defaultColWidth="10.5" defaultRowHeight="16" x14ac:dyDescent="0.2"/>
  <cols>
    <col min="1" max="1" width="10.83203125" customWidth="1"/>
    <col min="2" max="2" width="34" customWidth="1"/>
    <col min="3" max="3" width="26" style="2" customWidth="1"/>
    <col min="4" max="4" width="70" customWidth="1"/>
    <col min="7" max="9" width="13.1640625" bestFit="1" customWidth="1"/>
    <col min="10" max="11" width="14.1640625" bestFit="1" customWidth="1"/>
  </cols>
  <sheetData>
    <row r="1" spans="1:11" ht="19.5" customHeight="1" x14ac:dyDescent="0.3">
      <c r="A1" s="3" t="s">
        <v>0</v>
      </c>
    </row>
    <row r="2" spans="1:11" ht="19.5" customHeight="1" x14ac:dyDescent="0.3">
      <c r="A2" s="3"/>
      <c r="D2" s="4" t="s">
        <v>1</v>
      </c>
      <c r="F2" s="5" t="s">
        <v>245</v>
      </c>
    </row>
    <row r="3" spans="1:11" x14ac:dyDescent="0.2">
      <c r="B3" s="5" t="s">
        <v>2</v>
      </c>
      <c r="F3" s="25">
        <f>Returns!C30</f>
        <v>6.365686655044557E-4</v>
      </c>
      <c r="G3" s="54">
        <v>8500000</v>
      </c>
      <c r="H3" s="54">
        <v>9000000</v>
      </c>
      <c r="I3" s="54">
        <v>9500000</v>
      </c>
      <c r="J3" s="54">
        <v>10000000</v>
      </c>
      <c r="K3" s="54">
        <v>10800000</v>
      </c>
    </row>
    <row r="4" spans="1:11" x14ac:dyDescent="0.2">
      <c r="B4" t="s">
        <v>3</v>
      </c>
      <c r="C4" s="6" t="s">
        <v>4</v>
      </c>
      <c r="D4" s="7"/>
      <c r="E4" s="7"/>
      <c r="F4" s="54">
        <v>1.8</v>
      </c>
      <c r="G4" s="55">
        <f t="dataTable" ref="G4:K9" dt2D="1" dtr="1" r1="C8" r2="C23"/>
        <v>4.6955820918083188E-2</v>
      </c>
      <c r="H4" s="55">
        <v>2.3782899975776668E-2</v>
      </c>
      <c r="I4" s="55">
        <v>1.0617047548294068E-3</v>
      </c>
      <c r="J4" s="55">
        <v>-2.1338912844657897E-2</v>
      </c>
      <c r="K4" s="55">
        <v>-5.682633221149444E-2</v>
      </c>
    </row>
    <row r="5" spans="1:11" x14ac:dyDescent="0.2">
      <c r="B5" t="s">
        <v>5</v>
      </c>
      <c r="C5" s="8">
        <v>32081</v>
      </c>
      <c r="D5" s="9" t="s">
        <v>6</v>
      </c>
      <c r="F5" s="54">
        <v>1.9</v>
      </c>
      <c r="G5" s="55">
        <v>7.3377373814582841E-2</v>
      </c>
      <c r="H5" s="55">
        <v>5.0825801491737363E-2</v>
      </c>
      <c r="I5" s="55">
        <v>2.8821775317192076E-2</v>
      </c>
      <c r="J5" s="55">
        <v>7.2444885969161999E-3</v>
      </c>
      <c r="K5" s="55">
        <v>-2.6669590175151831E-2</v>
      </c>
    </row>
    <row r="6" spans="1:11" x14ac:dyDescent="0.2">
      <c r="B6" t="s">
        <v>7</v>
      </c>
      <c r="C6" s="8">
        <v>52272</v>
      </c>
      <c r="D6" s="9" t="s">
        <v>8</v>
      </c>
      <c r="F6" s="54">
        <v>2</v>
      </c>
      <c r="G6" s="55">
        <v>9.7842532396316517E-2</v>
      </c>
      <c r="H6" s="55">
        <v>7.5764778256416324E-2</v>
      </c>
      <c r="I6" s="55">
        <v>5.4308578372001648E-2</v>
      </c>
      <c r="J6" s="55">
        <v>3.3359119296073922E-2</v>
      </c>
      <c r="K6" s="55">
        <v>6.365686655044557E-4</v>
      </c>
    </row>
    <row r="7" spans="1:11" x14ac:dyDescent="0.2">
      <c r="B7" t="s">
        <v>9</v>
      </c>
      <c r="C7" s="6">
        <v>1953</v>
      </c>
      <c r="D7" s="9" t="s">
        <v>10</v>
      </c>
      <c r="F7" s="54">
        <v>2.1</v>
      </c>
      <c r="G7" s="55">
        <v>0.12066823840141297</v>
      </c>
      <c r="H7" s="55">
        <v>9.8954910039901728E-2</v>
      </c>
      <c r="I7" s="55">
        <v>7.7922508120536818E-2</v>
      </c>
      <c r="J7" s="55">
        <v>5.7459625601768496E-2</v>
      </c>
      <c r="K7" s="55">
        <v>2.5658479332923895E-2</v>
      </c>
    </row>
    <row r="8" spans="1:11" x14ac:dyDescent="0.2">
      <c r="B8" t="s">
        <v>11</v>
      </c>
      <c r="C8" s="10">
        <v>10800000</v>
      </c>
      <c r="D8" s="9" t="s">
        <v>12</v>
      </c>
      <c r="F8" s="54">
        <v>2.2000000000000002</v>
      </c>
      <c r="G8" s="55">
        <v>0.1420979678630829</v>
      </c>
      <c r="H8" s="55">
        <v>0.12066580653190612</v>
      </c>
      <c r="I8" s="55">
        <v>9.9963742494583147E-2</v>
      </c>
      <c r="J8" s="55">
        <v>7.9882183670997642E-2</v>
      </c>
      <c r="K8" s="55">
        <v>4.8804381489753718E-2</v>
      </c>
    </row>
    <row r="9" spans="1:11" x14ac:dyDescent="0.2">
      <c r="B9" t="s">
        <v>13</v>
      </c>
      <c r="C9" s="11">
        <f>C8/C5</f>
        <v>336.64786010411149</v>
      </c>
      <c r="F9" s="54">
        <v>2.2999999999999998</v>
      </c>
      <c r="G9" s="55">
        <v>0.16232311129570012</v>
      </c>
      <c r="H9" s="55">
        <v>0.14110737442970275</v>
      </c>
      <c r="I9" s="55">
        <v>0.12066358923912049</v>
      </c>
      <c r="J9" s="55">
        <v>0.10088285803794861</v>
      </c>
      <c r="K9" s="55">
        <v>7.0378986001014693E-2</v>
      </c>
    </row>
    <row r="10" spans="1:11" x14ac:dyDescent="0.2">
      <c r="B10" t="s">
        <v>14</v>
      </c>
      <c r="C10" s="12">
        <v>0.02</v>
      </c>
      <c r="D10" s="9" t="s">
        <v>15</v>
      </c>
    </row>
    <row r="11" spans="1:11" x14ac:dyDescent="0.2">
      <c r="B11" t="s">
        <v>16</v>
      </c>
      <c r="C11" s="11">
        <f>C8*C10</f>
        <v>216000</v>
      </c>
    </row>
    <row r="12" spans="1:11" x14ac:dyDescent="0.2">
      <c r="B12" t="s">
        <v>17</v>
      </c>
      <c r="C12" s="13">
        <v>46631</v>
      </c>
      <c r="D12" s="9" t="s">
        <v>18</v>
      </c>
    </row>
    <row r="14" spans="1:11" x14ac:dyDescent="0.2">
      <c r="B14" s="5" t="s">
        <v>19</v>
      </c>
    </row>
    <row r="15" spans="1:11" x14ac:dyDescent="0.2">
      <c r="B15" t="s">
        <v>20</v>
      </c>
      <c r="C15" s="10">
        <v>50</v>
      </c>
      <c r="D15" s="9" t="s">
        <v>21</v>
      </c>
    </row>
    <row r="16" spans="1:11" x14ac:dyDescent="0.2">
      <c r="B16" t="s">
        <v>22</v>
      </c>
      <c r="C16" s="11">
        <f>C15*C5</f>
        <v>1604050</v>
      </c>
    </row>
    <row r="17" spans="2:4" x14ac:dyDescent="0.2">
      <c r="B17" t="s">
        <v>23</v>
      </c>
      <c r="C17" s="12">
        <v>0.1</v>
      </c>
      <c r="D17" s="9" t="s">
        <v>24</v>
      </c>
    </row>
    <row r="18" spans="2:4" x14ac:dyDescent="0.2">
      <c r="B18" t="s">
        <v>25</v>
      </c>
      <c r="C18" s="11">
        <f>C16*C17</f>
        <v>160405</v>
      </c>
    </row>
    <row r="19" spans="2:4" x14ac:dyDescent="0.2">
      <c r="B19" t="s">
        <v>26</v>
      </c>
      <c r="C19" s="11">
        <f>C16+C18</f>
        <v>1764455</v>
      </c>
    </row>
    <row r="20" spans="2:4" x14ac:dyDescent="0.2">
      <c r="B20" t="s">
        <v>27</v>
      </c>
      <c r="C20" s="6">
        <v>6</v>
      </c>
      <c r="D20" s="9" t="s">
        <v>28</v>
      </c>
    </row>
    <row r="22" spans="2:4" x14ac:dyDescent="0.2">
      <c r="B22" s="5" t="s">
        <v>29</v>
      </c>
    </row>
    <row r="23" spans="2:4" x14ac:dyDescent="0.2">
      <c r="B23" t="s">
        <v>30</v>
      </c>
      <c r="C23" s="53">
        <v>2</v>
      </c>
      <c r="D23" s="9" t="s">
        <v>31</v>
      </c>
    </row>
    <row r="24" spans="2:4" x14ac:dyDescent="0.2">
      <c r="B24" t="s">
        <v>32</v>
      </c>
      <c r="C24" s="15">
        <v>3.5000000000000003E-2</v>
      </c>
      <c r="D24" s="9" t="s">
        <v>33</v>
      </c>
    </row>
    <row r="25" spans="2:4" x14ac:dyDescent="0.2">
      <c r="B25" t="s">
        <v>34</v>
      </c>
      <c r="C25" s="6">
        <v>60</v>
      </c>
      <c r="D25" s="9" t="s">
        <v>35</v>
      </c>
    </row>
    <row r="26" spans="2:4" x14ac:dyDescent="0.2">
      <c r="B26" t="s">
        <v>36</v>
      </c>
      <c r="C26" s="6">
        <v>6</v>
      </c>
      <c r="D26" s="9" t="s">
        <v>37</v>
      </c>
    </row>
    <row r="27" spans="2:4" x14ac:dyDescent="0.2">
      <c r="B27" t="s">
        <v>38</v>
      </c>
      <c r="C27" s="6">
        <v>3</v>
      </c>
      <c r="D27" s="9" t="s">
        <v>39</v>
      </c>
    </row>
    <row r="28" spans="2:4" x14ac:dyDescent="0.2">
      <c r="B28" t="s">
        <v>40</v>
      </c>
      <c r="C28" s="10">
        <v>10</v>
      </c>
      <c r="D28" s="9" t="s">
        <v>41</v>
      </c>
    </row>
    <row r="29" spans="2:4" x14ac:dyDescent="0.2">
      <c r="B29" t="s">
        <v>42</v>
      </c>
      <c r="C29" s="12">
        <v>0.05</v>
      </c>
      <c r="D29" s="9" t="s">
        <v>43</v>
      </c>
    </row>
    <row r="30" spans="2:4" x14ac:dyDescent="0.2">
      <c r="B30" t="s">
        <v>44</v>
      </c>
      <c r="C30" s="16">
        <f>C20+C26+1</f>
        <v>13</v>
      </c>
      <c r="D30" s="9" t="s">
        <v>45</v>
      </c>
    </row>
    <row r="31" spans="2:4" x14ac:dyDescent="0.2">
      <c r="B31" t="s">
        <v>46</v>
      </c>
      <c r="C31" s="16">
        <f>C30+C27</f>
        <v>16</v>
      </c>
      <c r="D31" s="9" t="s">
        <v>47</v>
      </c>
    </row>
    <row r="33" spans="2:4" x14ac:dyDescent="0.2">
      <c r="B33" s="5" t="s">
        <v>48</v>
      </c>
    </row>
    <row r="34" spans="2:4" x14ac:dyDescent="0.2">
      <c r="B34" t="s">
        <v>49</v>
      </c>
      <c r="C34" s="15">
        <v>1.2E-2</v>
      </c>
      <c r="D34" s="9" t="s">
        <v>50</v>
      </c>
    </row>
    <row r="35" spans="2:4" x14ac:dyDescent="0.2">
      <c r="B35" t="s">
        <v>51</v>
      </c>
      <c r="C35" s="11">
        <f>C8*C34</f>
        <v>129600</v>
      </c>
    </row>
    <row r="36" spans="2:4" x14ac:dyDescent="0.2">
      <c r="B36" t="s">
        <v>52</v>
      </c>
      <c r="C36" s="17">
        <v>0.75</v>
      </c>
      <c r="D36" s="9" t="s">
        <v>53</v>
      </c>
    </row>
    <row r="37" spans="2:4" x14ac:dyDescent="0.2">
      <c r="B37" t="s">
        <v>54</v>
      </c>
      <c r="C37" s="17">
        <v>0.75</v>
      </c>
      <c r="D37" s="9" t="s">
        <v>55</v>
      </c>
    </row>
    <row r="38" spans="2:4" x14ac:dyDescent="0.2">
      <c r="B38" t="s">
        <v>56</v>
      </c>
      <c r="C38" s="14">
        <f>(C35/C5+C36+C37)/12</f>
        <v>0.46164786010411146</v>
      </c>
      <c r="D38" s="9" t="s">
        <v>57</v>
      </c>
    </row>
    <row r="39" spans="2:4" x14ac:dyDescent="0.2">
      <c r="B39" t="s">
        <v>58</v>
      </c>
      <c r="C39" s="12">
        <v>0.03</v>
      </c>
      <c r="D39" s="9" t="s">
        <v>59</v>
      </c>
    </row>
    <row r="40" spans="2:4" x14ac:dyDescent="0.2">
      <c r="B40" t="s">
        <v>60</v>
      </c>
      <c r="C40" s="17">
        <v>0.15</v>
      </c>
      <c r="D40" s="9" t="s">
        <v>61</v>
      </c>
    </row>
    <row r="41" spans="2:4" x14ac:dyDescent="0.2">
      <c r="B41" t="s">
        <v>62</v>
      </c>
      <c r="C41" s="12">
        <v>0.05</v>
      </c>
      <c r="D41" s="9" t="s">
        <v>63</v>
      </c>
    </row>
    <row r="43" spans="2:4" x14ac:dyDescent="0.2">
      <c r="B43" s="5" t="s">
        <v>64</v>
      </c>
    </row>
    <row r="44" spans="2:4" x14ac:dyDescent="0.2">
      <c r="B44" t="s">
        <v>65</v>
      </c>
      <c r="C44" s="12">
        <v>0.55000000000000004</v>
      </c>
      <c r="D44" s="9" t="s">
        <v>66</v>
      </c>
    </row>
    <row r="45" spans="2:4" x14ac:dyDescent="0.2">
      <c r="B45" t="s">
        <v>67</v>
      </c>
      <c r="C45" s="15">
        <v>6.25E-2</v>
      </c>
      <c r="D45" s="9" t="s">
        <v>68</v>
      </c>
    </row>
    <row r="46" spans="2:4" x14ac:dyDescent="0.2">
      <c r="B46" t="s">
        <v>69</v>
      </c>
      <c r="C46" s="6" t="s">
        <v>70</v>
      </c>
      <c r="D46" s="9" t="s">
        <v>71</v>
      </c>
    </row>
    <row r="47" spans="2:4" x14ac:dyDescent="0.2">
      <c r="B47" t="s">
        <v>72</v>
      </c>
      <c r="C47" s="12">
        <v>0.01</v>
      </c>
      <c r="D47" s="9" t="s">
        <v>73</v>
      </c>
    </row>
    <row r="49" spans="2:4" x14ac:dyDescent="0.2">
      <c r="B49" s="5" t="s">
        <v>74</v>
      </c>
    </row>
    <row r="50" spans="2:4" x14ac:dyDescent="0.2">
      <c r="B50" t="s">
        <v>75</v>
      </c>
      <c r="C50" s="6">
        <v>60</v>
      </c>
      <c r="D50" s="9" t="s">
        <v>76</v>
      </c>
    </row>
    <row r="51" spans="2:4" x14ac:dyDescent="0.2">
      <c r="B51" t="s">
        <v>77</v>
      </c>
      <c r="C51" s="15">
        <v>0.06</v>
      </c>
      <c r="D51" s="9" t="s">
        <v>78</v>
      </c>
    </row>
    <row r="52" spans="2:4" x14ac:dyDescent="0.2">
      <c r="B52" t="s">
        <v>79</v>
      </c>
      <c r="C52" s="15">
        <v>0.02</v>
      </c>
      <c r="D52" s="9" t="s">
        <v>80</v>
      </c>
    </row>
    <row r="54" spans="2:4" x14ac:dyDescent="0.2">
      <c r="B54" s="5" t="s">
        <v>81</v>
      </c>
    </row>
    <row r="55" spans="2:4" x14ac:dyDescent="0.2">
      <c r="B55" t="s">
        <v>82</v>
      </c>
      <c r="C55" s="15">
        <v>6.5000000000000002E-2</v>
      </c>
      <c r="D55" s="9" t="s">
        <v>83</v>
      </c>
    </row>
  </sheetData>
  <conditionalFormatting sqref="G4:K9">
    <cfRule type="cellIs" dxfId="1" priority="1" operator="greaterThanOrEqual">
      <formula>0.12</formula>
    </cfRule>
    <cfRule type="cellIs" dxfId="0" priority="2" operator="lessThan">
      <formula>0.06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workbookViewId="0">
      <selection activeCell="I7" sqref="I7"/>
    </sheetView>
  </sheetViews>
  <sheetFormatPr baseColWidth="10" defaultColWidth="10.5" defaultRowHeight="16" x14ac:dyDescent="0.2"/>
  <cols>
    <col min="1" max="1" width="19" customWidth="1"/>
    <col min="2" max="2" width="13.33203125" customWidth="1"/>
    <col min="3" max="3" width="12.33203125" customWidth="1"/>
    <col min="4" max="4" width="11.83203125" style="18" customWidth="1"/>
    <col min="5" max="5" width="16.1640625" customWidth="1"/>
    <col min="6" max="6" width="14.6640625" customWidth="1"/>
    <col min="7" max="7" width="15.1640625" style="18" customWidth="1"/>
    <col min="8" max="8" width="13.1640625" style="19" customWidth="1"/>
    <col min="9" max="9" width="12.83203125" style="20" customWidth="1"/>
    <col min="11" max="11" width="14.33203125" customWidth="1"/>
    <col min="12" max="12" width="17.5" customWidth="1"/>
    <col min="13" max="13" width="10.83203125" customWidth="1"/>
  </cols>
  <sheetData>
    <row r="1" spans="1:13" x14ac:dyDescent="0.2">
      <c r="A1" s="5" t="s">
        <v>3</v>
      </c>
      <c r="B1" s="5" t="s">
        <v>84</v>
      </c>
      <c r="C1" s="5" t="s">
        <v>85</v>
      </c>
      <c r="D1" s="21" t="s">
        <v>86</v>
      </c>
      <c r="E1" s="5" t="s">
        <v>9</v>
      </c>
      <c r="F1" s="5" t="s">
        <v>87</v>
      </c>
      <c r="G1" s="21" t="s">
        <v>88</v>
      </c>
      <c r="H1" s="22" t="s">
        <v>89</v>
      </c>
      <c r="I1" s="23" t="s">
        <v>90</v>
      </c>
      <c r="J1" s="5" t="s">
        <v>91</v>
      </c>
      <c r="K1" s="5" t="s">
        <v>92</v>
      </c>
      <c r="L1" s="5" t="s">
        <v>93</v>
      </c>
      <c r="M1" s="5" t="s">
        <v>94</v>
      </c>
    </row>
    <row r="2" spans="1:13" x14ac:dyDescent="0.2">
      <c r="A2" t="s">
        <v>95</v>
      </c>
      <c r="B2" t="s">
        <v>96</v>
      </c>
      <c r="C2" t="s">
        <v>97</v>
      </c>
      <c r="D2" s="18">
        <v>15650</v>
      </c>
      <c r="E2" t="s">
        <v>98</v>
      </c>
      <c r="F2" t="s">
        <v>99</v>
      </c>
      <c r="G2" s="18">
        <v>1600</v>
      </c>
      <c r="H2" s="19">
        <v>0.13</v>
      </c>
      <c r="I2" s="20">
        <v>2.2999999999999998</v>
      </c>
      <c r="J2" t="s">
        <v>100</v>
      </c>
      <c r="K2" t="s">
        <v>101</v>
      </c>
      <c r="L2" t="s">
        <v>102</v>
      </c>
      <c r="M2" t="s">
        <v>103</v>
      </c>
    </row>
    <row r="3" spans="1:13" x14ac:dyDescent="0.2">
      <c r="A3" t="s">
        <v>104</v>
      </c>
      <c r="B3" t="s">
        <v>105</v>
      </c>
      <c r="C3" t="s">
        <v>106</v>
      </c>
      <c r="D3" s="18">
        <v>21252</v>
      </c>
      <c r="E3">
        <v>1979</v>
      </c>
      <c r="F3" t="s">
        <v>107</v>
      </c>
      <c r="G3" s="18">
        <v>400</v>
      </c>
      <c r="H3" s="19">
        <v>0.22</v>
      </c>
      <c r="I3" s="20">
        <v>1.89</v>
      </c>
      <c r="J3" t="s">
        <v>100</v>
      </c>
      <c r="K3" t="s">
        <v>101</v>
      </c>
      <c r="L3" t="s">
        <v>102</v>
      </c>
      <c r="M3" t="s">
        <v>108</v>
      </c>
    </row>
    <row r="4" spans="1:13" x14ac:dyDescent="0.2">
      <c r="A4" t="s">
        <v>109</v>
      </c>
      <c r="B4" t="s">
        <v>96</v>
      </c>
      <c r="C4" t="s">
        <v>97</v>
      </c>
      <c r="D4" s="18">
        <v>62081</v>
      </c>
      <c r="E4">
        <v>1963</v>
      </c>
      <c r="F4" t="s">
        <v>110</v>
      </c>
      <c r="G4" s="18">
        <v>2000</v>
      </c>
      <c r="H4" s="19" t="s">
        <v>111</v>
      </c>
      <c r="I4" s="20">
        <v>1.76</v>
      </c>
      <c r="J4" t="s">
        <v>100</v>
      </c>
      <c r="K4" t="s">
        <v>112</v>
      </c>
      <c r="L4" t="s">
        <v>102</v>
      </c>
      <c r="M4" t="s">
        <v>113</v>
      </c>
    </row>
    <row r="6" spans="1:13" x14ac:dyDescent="0.2">
      <c r="H6" s="19" t="s">
        <v>114</v>
      </c>
      <c r="I6" s="14">
        <f>AVERAGE(I2:I4)</f>
        <v>1.9833333333333332</v>
      </c>
    </row>
    <row r="7" spans="1:13" x14ac:dyDescent="0.2">
      <c r="H7" s="19" t="s">
        <v>115</v>
      </c>
      <c r="I7" s="52">
        <f>Assumptions!C23</f>
        <v>2</v>
      </c>
      <c r="M7" t="s">
        <v>116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9"/>
  <sheetViews>
    <sheetView zoomScaleNormal="100" workbookViewId="0">
      <selection activeCell="G21" sqref="G21"/>
    </sheetView>
  </sheetViews>
  <sheetFormatPr baseColWidth="10" defaultColWidth="10.5" defaultRowHeight="16" x14ac:dyDescent="0.2"/>
  <cols>
    <col min="2" max="2" width="35.83203125" customWidth="1"/>
    <col min="3" max="3" width="17" style="24" customWidth="1"/>
    <col min="4" max="4" width="17.1640625" style="25" customWidth="1"/>
    <col min="5" max="5" width="12.83203125" style="24" customWidth="1"/>
  </cols>
  <sheetData>
    <row r="1" spans="2:5" x14ac:dyDescent="0.2">
      <c r="B1" t="s">
        <v>117</v>
      </c>
    </row>
    <row r="2" spans="2:5" x14ac:dyDescent="0.2">
      <c r="B2" s="26"/>
      <c r="C2" s="24" t="s">
        <v>118</v>
      </c>
      <c r="D2" s="25" t="s">
        <v>119</v>
      </c>
      <c r="E2" s="24" t="s">
        <v>120</v>
      </c>
    </row>
    <row r="3" spans="2:5" x14ac:dyDescent="0.2">
      <c r="B3" s="5" t="s">
        <v>121</v>
      </c>
    </row>
    <row r="4" spans="2:5" x14ac:dyDescent="0.2">
      <c r="B4" t="s">
        <v>11</v>
      </c>
      <c r="C4" s="24">
        <f>Assumptions!C8</f>
        <v>10800000</v>
      </c>
      <c r="D4" s="25">
        <f t="shared" ref="D4:D12" si="0">C4/$C$12</f>
        <v>0.79730889945242567</v>
      </c>
      <c r="E4" s="24">
        <f>C4/Assumptions!$C$5</f>
        <v>336.64786010411149</v>
      </c>
    </row>
    <row r="5" spans="2:5" x14ac:dyDescent="0.2">
      <c r="B5" t="s">
        <v>122</v>
      </c>
      <c r="C5" s="24">
        <f>Assumptions!C11</f>
        <v>216000</v>
      </c>
      <c r="D5" s="25">
        <f t="shared" si="0"/>
        <v>1.5946177989048512E-2</v>
      </c>
      <c r="E5" s="24">
        <f>C5/Assumptions!$C$5</f>
        <v>6.732957202082229</v>
      </c>
    </row>
    <row r="6" spans="2:5" x14ac:dyDescent="0.2">
      <c r="B6" t="s">
        <v>123</v>
      </c>
      <c r="C6" s="24">
        <f>Assumptions!C19</f>
        <v>1764455</v>
      </c>
      <c r="D6" s="25">
        <f t="shared" si="0"/>
        <v>0.13026071057253052</v>
      </c>
      <c r="E6" s="24">
        <f>C6/Assumptions!$C$5</f>
        <v>55</v>
      </c>
    </row>
    <row r="7" spans="2:5" x14ac:dyDescent="0.2">
      <c r="B7" t="s">
        <v>124</v>
      </c>
      <c r="C7" s="24">
        <f>Assumptions!C28*Assumptions!C5</f>
        <v>320810</v>
      </c>
      <c r="D7" s="25">
        <f t="shared" si="0"/>
        <v>2.3683765558641913E-2</v>
      </c>
      <c r="E7" s="24">
        <f>C7/Assumptions!$C$5</f>
        <v>10</v>
      </c>
    </row>
    <row r="8" spans="2:5" x14ac:dyDescent="0.2">
      <c r="B8" t="s">
        <v>125</v>
      </c>
      <c r="C8" s="24">
        <f>Assumptions!C29*Assumptions!C23*Assumptions!C5*Assumptions!C25</f>
        <v>192486.00000000003</v>
      </c>
      <c r="D8" s="25">
        <f t="shared" si="0"/>
        <v>1.421025933518515E-2</v>
      </c>
      <c r="E8" s="24">
        <f>C8/Assumptions!$C$5</f>
        <v>6.0000000000000009</v>
      </c>
    </row>
    <row r="9" spans="2:5" x14ac:dyDescent="0.2">
      <c r="B9" t="s">
        <v>126</v>
      </c>
      <c r="C9" s="24">
        <f>Assumptions!C38*Assumptions!C5*(Assumptions!C30-1)</f>
        <v>177721.5</v>
      </c>
      <c r="D9" s="25">
        <f t="shared" si="0"/>
        <v>1.3120271627225394E-2</v>
      </c>
      <c r="E9" s="24">
        <f>C9/Assumptions!$C$5</f>
        <v>5.5397743212493378</v>
      </c>
    </row>
    <row r="10" spans="2:5" x14ac:dyDescent="0.2">
      <c r="B10" t="s">
        <v>127</v>
      </c>
      <c r="C10" s="24">
        <f>SUM(C4:C9)</f>
        <v>13471472.5</v>
      </c>
      <c r="D10" s="25">
        <f t="shared" si="0"/>
        <v>0.99453008453505709</v>
      </c>
      <c r="E10" s="24">
        <f>C10/Assumptions!$C$5</f>
        <v>419.92059162744306</v>
      </c>
    </row>
    <row r="11" spans="2:5" x14ac:dyDescent="0.2">
      <c r="B11" t="s">
        <v>72</v>
      </c>
      <c r="C11" s="24">
        <f>C15*Assumptions!C47</f>
        <v>74093.098750000005</v>
      </c>
      <c r="D11" s="25">
        <f t="shared" si="0"/>
        <v>5.4699154649428148E-3</v>
      </c>
      <c r="E11" s="24">
        <f>C11/Assumptions!$C$5</f>
        <v>2.309563253950937</v>
      </c>
    </row>
    <row r="12" spans="2:5" x14ac:dyDescent="0.2">
      <c r="B12" t="s">
        <v>128</v>
      </c>
      <c r="C12" s="24">
        <f>C10+C11</f>
        <v>13545565.598750001</v>
      </c>
      <c r="D12" s="25">
        <f t="shared" si="0"/>
        <v>1</v>
      </c>
      <c r="E12" s="24">
        <f>C12/Assumptions!$C$5</f>
        <v>422.23015488139401</v>
      </c>
    </row>
    <row r="14" spans="2:5" x14ac:dyDescent="0.2">
      <c r="B14" s="5" t="s">
        <v>129</v>
      </c>
    </row>
    <row r="15" spans="2:5" x14ac:dyDescent="0.2">
      <c r="B15" t="s">
        <v>130</v>
      </c>
      <c r="C15" s="24">
        <f>C10*Assumptions!C44</f>
        <v>7409309.8750000009</v>
      </c>
      <c r="D15" s="25">
        <f>C15/$C$12</f>
        <v>0.5469915464942815</v>
      </c>
      <c r="E15" s="24">
        <f>C15/Assumptions!$C$5</f>
        <v>230.9563253950937</v>
      </c>
    </row>
    <row r="16" spans="2:5" x14ac:dyDescent="0.2">
      <c r="B16" t="s">
        <v>131</v>
      </c>
      <c r="C16" s="24">
        <f>C12-C15</f>
        <v>6136255.7237499999</v>
      </c>
      <c r="D16" s="25">
        <f>C16/$C$12</f>
        <v>0.4530084535057185</v>
      </c>
      <c r="E16" s="24">
        <f>C16/Assumptions!$C$5</f>
        <v>191.27382948630029</v>
      </c>
    </row>
    <row r="17" spans="2:5" x14ac:dyDescent="0.2">
      <c r="B17" t="s">
        <v>132</v>
      </c>
      <c r="C17" s="24">
        <f>C15+C16</f>
        <v>13545565.598750001</v>
      </c>
      <c r="D17" s="25">
        <f>C17/$C$12</f>
        <v>1</v>
      </c>
      <c r="E17" s="24">
        <f>C17/Assumptions!$C$5</f>
        <v>422.23015488139401</v>
      </c>
    </row>
    <row r="19" spans="2:5" x14ac:dyDescent="0.2">
      <c r="B19" t="s">
        <v>133</v>
      </c>
      <c r="C19" s="24">
        <f>C17-C12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L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5" defaultRowHeight="16" x14ac:dyDescent="0.2"/>
  <cols>
    <col min="1" max="1" width="2" customWidth="1"/>
    <col min="2" max="2" width="34" customWidth="1"/>
    <col min="3" max="64" width="14" customWidth="1"/>
  </cols>
  <sheetData>
    <row r="1" spans="2:64" ht="22" x14ac:dyDescent="0.3">
      <c r="B1" s="27" t="s">
        <v>134</v>
      </c>
      <c r="C1" s="9" t="s">
        <v>135</v>
      </c>
      <c r="BL1" s="9" t="s">
        <v>136</v>
      </c>
    </row>
    <row r="2" spans="2:64" x14ac:dyDescent="0.2">
      <c r="B2" s="28" t="s">
        <v>137</v>
      </c>
      <c r="C2" s="29">
        <v>0</v>
      </c>
      <c r="D2" s="29">
        <f t="shared" ref="D2:AI2" si="0">C2+1</f>
        <v>1</v>
      </c>
      <c r="E2" s="29">
        <f t="shared" si="0"/>
        <v>2</v>
      </c>
      <c r="F2" s="29">
        <f t="shared" si="0"/>
        <v>3</v>
      </c>
      <c r="G2" s="29">
        <f t="shared" si="0"/>
        <v>4</v>
      </c>
      <c r="H2" s="29">
        <f t="shared" si="0"/>
        <v>5</v>
      </c>
      <c r="I2" s="29">
        <f t="shared" si="0"/>
        <v>6</v>
      </c>
      <c r="J2" s="29">
        <f t="shared" si="0"/>
        <v>7</v>
      </c>
      <c r="K2" s="29">
        <f t="shared" si="0"/>
        <v>8</v>
      </c>
      <c r="L2" s="29">
        <f t="shared" si="0"/>
        <v>9</v>
      </c>
      <c r="M2" s="29">
        <f t="shared" si="0"/>
        <v>10</v>
      </c>
      <c r="N2" s="29">
        <f t="shared" si="0"/>
        <v>11</v>
      </c>
      <c r="O2" s="29">
        <f t="shared" si="0"/>
        <v>12</v>
      </c>
      <c r="P2" s="29">
        <f t="shared" si="0"/>
        <v>13</v>
      </c>
      <c r="Q2" s="29">
        <f t="shared" si="0"/>
        <v>14</v>
      </c>
      <c r="R2" s="29">
        <f t="shared" si="0"/>
        <v>15</v>
      </c>
      <c r="S2" s="29">
        <f t="shared" si="0"/>
        <v>16</v>
      </c>
      <c r="T2" s="29">
        <f t="shared" si="0"/>
        <v>17</v>
      </c>
      <c r="U2" s="29">
        <f t="shared" si="0"/>
        <v>18</v>
      </c>
      <c r="V2" s="29">
        <f t="shared" si="0"/>
        <v>19</v>
      </c>
      <c r="W2" s="29">
        <f t="shared" si="0"/>
        <v>20</v>
      </c>
      <c r="X2" s="29">
        <f t="shared" si="0"/>
        <v>21</v>
      </c>
      <c r="Y2" s="29">
        <f t="shared" si="0"/>
        <v>22</v>
      </c>
      <c r="Z2" s="29">
        <f t="shared" si="0"/>
        <v>23</v>
      </c>
      <c r="AA2" s="29">
        <f t="shared" si="0"/>
        <v>24</v>
      </c>
      <c r="AB2" s="29">
        <f t="shared" si="0"/>
        <v>25</v>
      </c>
      <c r="AC2" s="29">
        <f t="shared" si="0"/>
        <v>26</v>
      </c>
      <c r="AD2" s="29">
        <f t="shared" si="0"/>
        <v>27</v>
      </c>
      <c r="AE2" s="29">
        <f t="shared" si="0"/>
        <v>28</v>
      </c>
      <c r="AF2" s="29">
        <f t="shared" si="0"/>
        <v>29</v>
      </c>
      <c r="AG2" s="29">
        <f t="shared" si="0"/>
        <v>30</v>
      </c>
      <c r="AH2" s="29">
        <f t="shared" si="0"/>
        <v>31</v>
      </c>
      <c r="AI2" s="29">
        <f t="shared" si="0"/>
        <v>32</v>
      </c>
      <c r="AJ2" s="29">
        <f t="shared" ref="AJ2:BL2" si="1">AI2+1</f>
        <v>33</v>
      </c>
      <c r="AK2" s="29">
        <f t="shared" si="1"/>
        <v>34</v>
      </c>
      <c r="AL2" s="29">
        <f t="shared" si="1"/>
        <v>35</v>
      </c>
      <c r="AM2" s="29">
        <f t="shared" si="1"/>
        <v>36</v>
      </c>
      <c r="AN2" s="29">
        <f t="shared" si="1"/>
        <v>37</v>
      </c>
      <c r="AO2" s="29">
        <f t="shared" si="1"/>
        <v>38</v>
      </c>
      <c r="AP2" s="29">
        <f t="shared" si="1"/>
        <v>39</v>
      </c>
      <c r="AQ2" s="29">
        <f t="shared" si="1"/>
        <v>40</v>
      </c>
      <c r="AR2" s="29">
        <f t="shared" si="1"/>
        <v>41</v>
      </c>
      <c r="AS2" s="29">
        <f t="shared" si="1"/>
        <v>42</v>
      </c>
      <c r="AT2" s="29">
        <f t="shared" si="1"/>
        <v>43</v>
      </c>
      <c r="AU2" s="29">
        <f t="shared" si="1"/>
        <v>44</v>
      </c>
      <c r="AV2" s="29">
        <f t="shared" si="1"/>
        <v>45</v>
      </c>
      <c r="AW2" s="29">
        <f t="shared" si="1"/>
        <v>46</v>
      </c>
      <c r="AX2" s="29">
        <f t="shared" si="1"/>
        <v>47</v>
      </c>
      <c r="AY2" s="29">
        <f t="shared" si="1"/>
        <v>48</v>
      </c>
      <c r="AZ2" s="29">
        <f t="shared" si="1"/>
        <v>49</v>
      </c>
      <c r="BA2" s="29">
        <f t="shared" si="1"/>
        <v>50</v>
      </c>
      <c r="BB2" s="29">
        <f t="shared" si="1"/>
        <v>51</v>
      </c>
      <c r="BC2" s="29">
        <f t="shared" si="1"/>
        <v>52</v>
      </c>
      <c r="BD2" s="29">
        <f t="shared" si="1"/>
        <v>53</v>
      </c>
      <c r="BE2" s="29">
        <f t="shared" si="1"/>
        <v>54</v>
      </c>
      <c r="BF2" s="29">
        <f t="shared" si="1"/>
        <v>55</v>
      </c>
      <c r="BG2" s="29">
        <f t="shared" si="1"/>
        <v>56</v>
      </c>
      <c r="BH2" s="29">
        <f t="shared" si="1"/>
        <v>57</v>
      </c>
      <c r="BI2" s="29">
        <f t="shared" si="1"/>
        <v>58</v>
      </c>
      <c r="BJ2" s="29">
        <f t="shared" si="1"/>
        <v>59</v>
      </c>
      <c r="BK2" s="29">
        <f t="shared" si="1"/>
        <v>60</v>
      </c>
      <c r="BL2" s="29">
        <f t="shared" si="1"/>
        <v>61</v>
      </c>
    </row>
    <row r="3" spans="2:64" x14ac:dyDescent="0.2">
      <c r="B3" s="16" t="s">
        <v>138</v>
      </c>
      <c r="C3" s="30">
        <f>Assumptions!C12</f>
        <v>46631</v>
      </c>
      <c r="D3" s="30">
        <f t="shared" ref="D3:AI3" si="2">EDATE(C3,1)</f>
        <v>46661</v>
      </c>
      <c r="E3" s="30">
        <f t="shared" si="2"/>
        <v>46692</v>
      </c>
      <c r="F3" s="30">
        <f t="shared" si="2"/>
        <v>46722</v>
      </c>
      <c r="G3" s="30">
        <f t="shared" si="2"/>
        <v>46753</v>
      </c>
      <c r="H3" s="30">
        <f t="shared" si="2"/>
        <v>46784</v>
      </c>
      <c r="I3" s="30">
        <f t="shared" si="2"/>
        <v>46813</v>
      </c>
      <c r="J3" s="30">
        <f t="shared" si="2"/>
        <v>46844</v>
      </c>
      <c r="K3" s="30">
        <f t="shared" si="2"/>
        <v>46874</v>
      </c>
      <c r="L3" s="30">
        <f t="shared" si="2"/>
        <v>46905</v>
      </c>
      <c r="M3" s="30">
        <f t="shared" si="2"/>
        <v>46935</v>
      </c>
      <c r="N3" s="30">
        <f t="shared" si="2"/>
        <v>46966</v>
      </c>
      <c r="O3" s="30">
        <f t="shared" si="2"/>
        <v>46997</v>
      </c>
      <c r="P3" s="30">
        <f t="shared" si="2"/>
        <v>47027</v>
      </c>
      <c r="Q3" s="30">
        <f t="shared" si="2"/>
        <v>47058</v>
      </c>
      <c r="R3" s="30">
        <f t="shared" si="2"/>
        <v>47088</v>
      </c>
      <c r="S3" s="30">
        <f t="shared" si="2"/>
        <v>47119</v>
      </c>
      <c r="T3" s="30">
        <f t="shared" si="2"/>
        <v>47150</v>
      </c>
      <c r="U3" s="30">
        <f t="shared" si="2"/>
        <v>47178</v>
      </c>
      <c r="V3" s="30">
        <f t="shared" si="2"/>
        <v>47209</v>
      </c>
      <c r="W3" s="30">
        <f t="shared" si="2"/>
        <v>47239</v>
      </c>
      <c r="X3" s="30">
        <f t="shared" si="2"/>
        <v>47270</v>
      </c>
      <c r="Y3" s="30">
        <f t="shared" si="2"/>
        <v>47300</v>
      </c>
      <c r="Z3" s="30">
        <f t="shared" si="2"/>
        <v>47331</v>
      </c>
      <c r="AA3" s="30">
        <f t="shared" si="2"/>
        <v>47362</v>
      </c>
      <c r="AB3" s="30">
        <f t="shared" si="2"/>
        <v>47392</v>
      </c>
      <c r="AC3" s="30">
        <f t="shared" si="2"/>
        <v>47423</v>
      </c>
      <c r="AD3" s="30">
        <f t="shared" si="2"/>
        <v>47453</v>
      </c>
      <c r="AE3" s="30">
        <f t="shared" si="2"/>
        <v>47484</v>
      </c>
      <c r="AF3" s="30">
        <f t="shared" si="2"/>
        <v>47515</v>
      </c>
      <c r="AG3" s="30">
        <f t="shared" si="2"/>
        <v>47543</v>
      </c>
      <c r="AH3" s="30">
        <f t="shared" si="2"/>
        <v>47574</v>
      </c>
      <c r="AI3" s="30">
        <f t="shared" si="2"/>
        <v>47604</v>
      </c>
      <c r="AJ3" s="30">
        <f t="shared" ref="AJ3:BL3" si="3">EDATE(AI3,1)</f>
        <v>47635</v>
      </c>
      <c r="AK3" s="30">
        <f t="shared" si="3"/>
        <v>47665</v>
      </c>
      <c r="AL3" s="30">
        <f t="shared" si="3"/>
        <v>47696</v>
      </c>
      <c r="AM3" s="30">
        <f t="shared" si="3"/>
        <v>47727</v>
      </c>
      <c r="AN3" s="30">
        <f t="shared" si="3"/>
        <v>47757</v>
      </c>
      <c r="AO3" s="30">
        <f t="shared" si="3"/>
        <v>47788</v>
      </c>
      <c r="AP3" s="30">
        <f t="shared" si="3"/>
        <v>47818</v>
      </c>
      <c r="AQ3" s="30">
        <f t="shared" si="3"/>
        <v>47849</v>
      </c>
      <c r="AR3" s="30">
        <f t="shared" si="3"/>
        <v>47880</v>
      </c>
      <c r="AS3" s="30">
        <f t="shared" si="3"/>
        <v>47908</v>
      </c>
      <c r="AT3" s="30">
        <f t="shared" si="3"/>
        <v>47939</v>
      </c>
      <c r="AU3" s="30">
        <f t="shared" si="3"/>
        <v>47969</v>
      </c>
      <c r="AV3" s="30">
        <f t="shared" si="3"/>
        <v>48000</v>
      </c>
      <c r="AW3" s="30">
        <f t="shared" si="3"/>
        <v>48030</v>
      </c>
      <c r="AX3" s="30">
        <f t="shared" si="3"/>
        <v>48061</v>
      </c>
      <c r="AY3" s="30">
        <f t="shared" si="3"/>
        <v>48092</v>
      </c>
      <c r="AZ3" s="30">
        <f t="shared" si="3"/>
        <v>48122</v>
      </c>
      <c r="BA3" s="30">
        <f t="shared" si="3"/>
        <v>48153</v>
      </c>
      <c r="BB3" s="30">
        <f t="shared" si="3"/>
        <v>48183</v>
      </c>
      <c r="BC3" s="30">
        <f t="shared" si="3"/>
        <v>48214</v>
      </c>
      <c r="BD3" s="30">
        <f t="shared" si="3"/>
        <v>48245</v>
      </c>
      <c r="BE3" s="30">
        <f t="shared" si="3"/>
        <v>48274</v>
      </c>
      <c r="BF3" s="30">
        <f t="shared" si="3"/>
        <v>48305</v>
      </c>
      <c r="BG3" s="30">
        <f t="shared" si="3"/>
        <v>48335</v>
      </c>
      <c r="BH3" s="30">
        <f t="shared" si="3"/>
        <v>48366</v>
      </c>
      <c r="BI3" s="30">
        <f t="shared" si="3"/>
        <v>48396</v>
      </c>
      <c r="BJ3" s="30">
        <f t="shared" si="3"/>
        <v>48427</v>
      </c>
      <c r="BK3" s="30">
        <f t="shared" si="3"/>
        <v>48458</v>
      </c>
      <c r="BL3" s="30">
        <f t="shared" si="3"/>
        <v>48488</v>
      </c>
    </row>
    <row r="4" spans="2:64" x14ac:dyDescent="0.2">
      <c r="B4" s="16" t="s">
        <v>139</v>
      </c>
      <c r="D4" s="31">
        <f>IF(D$2&lt;Assumptions!$C$30,0,INT((D$2-Assumptions!$C$30)/12)+1)</f>
        <v>0</v>
      </c>
      <c r="E4" s="31">
        <f>IF(E$2&lt;Assumptions!$C$30,0,INT((E$2-Assumptions!$C$30)/12)+1)</f>
        <v>0</v>
      </c>
      <c r="F4" s="31">
        <f>IF(F$2&lt;Assumptions!$C$30,0,INT((F$2-Assumptions!$C$30)/12)+1)</f>
        <v>0</v>
      </c>
      <c r="G4" s="31">
        <f>IF(G$2&lt;Assumptions!$C$30,0,INT((G$2-Assumptions!$C$30)/12)+1)</f>
        <v>0</v>
      </c>
      <c r="H4" s="31">
        <f>IF(H$2&lt;Assumptions!$C$30,0,INT((H$2-Assumptions!$C$30)/12)+1)</f>
        <v>0</v>
      </c>
      <c r="I4" s="31">
        <f>IF(I$2&lt;Assumptions!$C$30,0,INT((I$2-Assumptions!$C$30)/12)+1)</f>
        <v>0</v>
      </c>
      <c r="J4" s="31">
        <f>IF(J$2&lt;Assumptions!$C$30,0,INT((J$2-Assumptions!$C$30)/12)+1)</f>
        <v>0</v>
      </c>
      <c r="K4" s="31">
        <f>IF(K$2&lt;Assumptions!$C$30,0,INT((K$2-Assumptions!$C$30)/12)+1)</f>
        <v>0</v>
      </c>
      <c r="L4" s="31">
        <f>IF(L$2&lt;Assumptions!$C$30,0,INT((L$2-Assumptions!$C$30)/12)+1)</f>
        <v>0</v>
      </c>
      <c r="M4" s="31">
        <f>IF(M$2&lt;Assumptions!$C$30,0,INT((M$2-Assumptions!$C$30)/12)+1)</f>
        <v>0</v>
      </c>
      <c r="N4" s="31">
        <f>IF(N$2&lt;Assumptions!$C$30,0,INT((N$2-Assumptions!$C$30)/12)+1)</f>
        <v>0</v>
      </c>
      <c r="O4" s="31">
        <f>IF(O$2&lt;Assumptions!$C$30,0,INT((O$2-Assumptions!$C$30)/12)+1)</f>
        <v>0</v>
      </c>
      <c r="P4" s="31">
        <f>IF(P$2&lt;Assumptions!$C$30,0,INT((P$2-Assumptions!$C$30)/12)+1)</f>
        <v>1</v>
      </c>
      <c r="Q4" s="31">
        <f>IF(Q$2&lt;Assumptions!$C$30,0,INT((Q$2-Assumptions!$C$30)/12)+1)</f>
        <v>1</v>
      </c>
      <c r="R4" s="31">
        <f>IF(R$2&lt;Assumptions!$C$30,0,INT((R$2-Assumptions!$C$30)/12)+1)</f>
        <v>1</v>
      </c>
      <c r="S4" s="31">
        <f>IF(S$2&lt;Assumptions!$C$30,0,INT((S$2-Assumptions!$C$30)/12)+1)</f>
        <v>1</v>
      </c>
      <c r="T4" s="31">
        <f>IF(T$2&lt;Assumptions!$C$30,0,INT((T$2-Assumptions!$C$30)/12)+1)</f>
        <v>1</v>
      </c>
      <c r="U4" s="31">
        <f>IF(U$2&lt;Assumptions!$C$30,0,INT((U$2-Assumptions!$C$30)/12)+1)</f>
        <v>1</v>
      </c>
      <c r="V4" s="31">
        <f>IF(V$2&lt;Assumptions!$C$30,0,INT((V$2-Assumptions!$C$30)/12)+1)</f>
        <v>1</v>
      </c>
      <c r="W4" s="31">
        <f>IF(W$2&lt;Assumptions!$C$30,0,INT((W$2-Assumptions!$C$30)/12)+1)</f>
        <v>1</v>
      </c>
      <c r="X4" s="31">
        <f>IF(X$2&lt;Assumptions!$C$30,0,INT((X$2-Assumptions!$C$30)/12)+1)</f>
        <v>1</v>
      </c>
      <c r="Y4" s="31">
        <f>IF(Y$2&lt;Assumptions!$C$30,0,INT((Y$2-Assumptions!$C$30)/12)+1)</f>
        <v>1</v>
      </c>
      <c r="Z4" s="31">
        <f>IF(Z$2&lt;Assumptions!$C$30,0,INT((Z$2-Assumptions!$C$30)/12)+1)</f>
        <v>1</v>
      </c>
      <c r="AA4" s="31">
        <f>IF(AA$2&lt;Assumptions!$C$30,0,INT((AA$2-Assumptions!$C$30)/12)+1)</f>
        <v>1</v>
      </c>
      <c r="AB4" s="31">
        <f>IF(AB$2&lt;Assumptions!$C$30,0,INT((AB$2-Assumptions!$C$30)/12)+1)</f>
        <v>2</v>
      </c>
      <c r="AC4" s="31">
        <f>IF(AC$2&lt;Assumptions!$C$30,0,INT((AC$2-Assumptions!$C$30)/12)+1)</f>
        <v>2</v>
      </c>
      <c r="AD4" s="31">
        <f>IF(AD$2&lt;Assumptions!$C$30,0,INT((AD$2-Assumptions!$C$30)/12)+1)</f>
        <v>2</v>
      </c>
      <c r="AE4" s="31">
        <f>IF(AE$2&lt;Assumptions!$C$30,0,INT((AE$2-Assumptions!$C$30)/12)+1)</f>
        <v>2</v>
      </c>
      <c r="AF4" s="31">
        <f>IF(AF$2&lt;Assumptions!$C$30,0,INT((AF$2-Assumptions!$C$30)/12)+1)</f>
        <v>2</v>
      </c>
      <c r="AG4" s="31">
        <f>IF(AG$2&lt;Assumptions!$C$30,0,INT((AG$2-Assumptions!$C$30)/12)+1)</f>
        <v>2</v>
      </c>
      <c r="AH4" s="31">
        <f>IF(AH$2&lt;Assumptions!$C$30,0,INT((AH$2-Assumptions!$C$30)/12)+1)</f>
        <v>2</v>
      </c>
      <c r="AI4" s="31">
        <f>IF(AI$2&lt;Assumptions!$C$30,0,INT((AI$2-Assumptions!$C$30)/12)+1)</f>
        <v>2</v>
      </c>
      <c r="AJ4" s="31">
        <f>IF(AJ$2&lt;Assumptions!$C$30,0,INT((AJ$2-Assumptions!$C$30)/12)+1)</f>
        <v>2</v>
      </c>
      <c r="AK4" s="31">
        <f>IF(AK$2&lt;Assumptions!$C$30,0,INT((AK$2-Assumptions!$C$30)/12)+1)</f>
        <v>2</v>
      </c>
      <c r="AL4" s="31">
        <f>IF(AL$2&lt;Assumptions!$C$30,0,INT((AL$2-Assumptions!$C$30)/12)+1)</f>
        <v>2</v>
      </c>
      <c r="AM4" s="31">
        <f>IF(AM$2&lt;Assumptions!$C$30,0,INT((AM$2-Assumptions!$C$30)/12)+1)</f>
        <v>2</v>
      </c>
      <c r="AN4" s="31">
        <f>IF(AN$2&lt;Assumptions!$C$30,0,INT((AN$2-Assumptions!$C$30)/12)+1)</f>
        <v>3</v>
      </c>
      <c r="AO4" s="31">
        <f>IF(AO$2&lt;Assumptions!$C$30,0,INT((AO$2-Assumptions!$C$30)/12)+1)</f>
        <v>3</v>
      </c>
      <c r="AP4" s="31">
        <f>IF(AP$2&lt;Assumptions!$C$30,0,INT((AP$2-Assumptions!$C$30)/12)+1)</f>
        <v>3</v>
      </c>
      <c r="AQ4" s="31">
        <f>IF(AQ$2&lt;Assumptions!$C$30,0,INT((AQ$2-Assumptions!$C$30)/12)+1)</f>
        <v>3</v>
      </c>
      <c r="AR4" s="31">
        <f>IF(AR$2&lt;Assumptions!$C$30,0,INT((AR$2-Assumptions!$C$30)/12)+1)</f>
        <v>3</v>
      </c>
      <c r="AS4" s="31">
        <f>IF(AS$2&lt;Assumptions!$C$30,0,INT((AS$2-Assumptions!$C$30)/12)+1)</f>
        <v>3</v>
      </c>
      <c r="AT4" s="31">
        <f>IF(AT$2&lt;Assumptions!$C$30,0,INT((AT$2-Assumptions!$C$30)/12)+1)</f>
        <v>3</v>
      </c>
      <c r="AU4" s="31">
        <f>IF(AU$2&lt;Assumptions!$C$30,0,INT((AU$2-Assumptions!$C$30)/12)+1)</f>
        <v>3</v>
      </c>
      <c r="AV4" s="31">
        <f>IF(AV$2&lt;Assumptions!$C$30,0,INT((AV$2-Assumptions!$C$30)/12)+1)</f>
        <v>3</v>
      </c>
      <c r="AW4" s="31">
        <f>IF(AW$2&lt;Assumptions!$C$30,0,INT((AW$2-Assumptions!$C$30)/12)+1)</f>
        <v>3</v>
      </c>
      <c r="AX4" s="31">
        <f>IF(AX$2&lt;Assumptions!$C$30,0,INT((AX$2-Assumptions!$C$30)/12)+1)</f>
        <v>3</v>
      </c>
      <c r="AY4" s="31">
        <f>IF(AY$2&lt;Assumptions!$C$30,0,INT((AY$2-Assumptions!$C$30)/12)+1)</f>
        <v>3</v>
      </c>
      <c r="AZ4" s="31">
        <f>IF(AZ$2&lt;Assumptions!$C$30,0,INT((AZ$2-Assumptions!$C$30)/12)+1)</f>
        <v>4</v>
      </c>
      <c r="BA4" s="31">
        <f>IF(BA$2&lt;Assumptions!$C$30,0,INT((BA$2-Assumptions!$C$30)/12)+1)</f>
        <v>4</v>
      </c>
      <c r="BB4" s="31">
        <f>IF(BB$2&lt;Assumptions!$C$30,0,INT((BB$2-Assumptions!$C$30)/12)+1)</f>
        <v>4</v>
      </c>
      <c r="BC4" s="31">
        <f>IF(BC$2&lt;Assumptions!$C$30,0,INT((BC$2-Assumptions!$C$30)/12)+1)</f>
        <v>4</v>
      </c>
      <c r="BD4" s="31">
        <f>IF(BD$2&lt;Assumptions!$C$30,0,INT((BD$2-Assumptions!$C$30)/12)+1)</f>
        <v>4</v>
      </c>
      <c r="BE4" s="31">
        <f>IF(BE$2&lt;Assumptions!$C$30,0,INT((BE$2-Assumptions!$C$30)/12)+1)</f>
        <v>4</v>
      </c>
      <c r="BF4" s="31">
        <f>IF(BF$2&lt;Assumptions!$C$30,0,INT((BF$2-Assumptions!$C$30)/12)+1)</f>
        <v>4</v>
      </c>
      <c r="BG4" s="31">
        <f>IF(BG$2&lt;Assumptions!$C$30,0,INT((BG$2-Assumptions!$C$30)/12)+1)</f>
        <v>4</v>
      </c>
      <c r="BH4" s="31">
        <f>IF(BH$2&lt;Assumptions!$C$30,0,INT((BH$2-Assumptions!$C$30)/12)+1)</f>
        <v>4</v>
      </c>
      <c r="BI4" s="31">
        <f>IF(BI$2&lt;Assumptions!$C$30,0,INT((BI$2-Assumptions!$C$30)/12)+1)</f>
        <v>4</v>
      </c>
      <c r="BJ4" s="31">
        <f>IF(BJ$2&lt;Assumptions!$C$30,0,INT((BJ$2-Assumptions!$C$30)/12)+1)</f>
        <v>4</v>
      </c>
      <c r="BK4" s="31">
        <f>IF(BK$2&lt;Assumptions!$C$30,0,INT((BK$2-Assumptions!$C$30)/12)+1)</f>
        <v>4</v>
      </c>
      <c r="BL4" s="31">
        <f>IF(BL$2&lt;Assumptions!$C$30,0,INT((BL$2-Assumptions!$C$30)/12)+1)</f>
        <v>5</v>
      </c>
    </row>
    <row r="6" spans="2:64" x14ac:dyDescent="0.2">
      <c r="B6" s="4" t="s">
        <v>140</v>
      </c>
    </row>
    <row r="7" spans="2:64" x14ac:dyDescent="0.2">
      <c r="B7" s="16" t="s">
        <v>141</v>
      </c>
      <c r="D7" s="32">
        <f>IF(D$2&gt;=Assumptions!$C$31,Assumptions!$C$23*Assumptions!$C$5*(1+Assumptions!$C$24)^(D$4-1),0)</f>
        <v>0</v>
      </c>
      <c r="E7" s="32">
        <f>IF(E$2&gt;=Assumptions!$C$31,Assumptions!$C$23*Assumptions!$C$5*(1+Assumptions!$C$24)^(E$4-1),0)</f>
        <v>0</v>
      </c>
      <c r="F7" s="32">
        <f>IF(F$2&gt;=Assumptions!$C$31,Assumptions!$C$23*Assumptions!$C$5*(1+Assumptions!$C$24)^(F$4-1),0)</f>
        <v>0</v>
      </c>
      <c r="G7" s="32">
        <f>IF(G$2&gt;=Assumptions!$C$31,Assumptions!$C$23*Assumptions!$C$5*(1+Assumptions!$C$24)^(G$4-1),0)</f>
        <v>0</v>
      </c>
      <c r="H7" s="32">
        <f>IF(H$2&gt;=Assumptions!$C$31,Assumptions!$C$23*Assumptions!$C$5*(1+Assumptions!$C$24)^(H$4-1),0)</f>
        <v>0</v>
      </c>
      <c r="I7" s="32">
        <f>IF(I$2&gt;=Assumptions!$C$31,Assumptions!$C$23*Assumptions!$C$5*(1+Assumptions!$C$24)^(I$4-1),0)</f>
        <v>0</v>
      </c>
      <c r="J7" s="32">
        <f>IF(J$2&gt;=Assumptions!$C$31,Assumptions!$C$23*Assumptions!$C$5*(1+Assumptions!$C$24)^(J$4-1),0)</f>
        <v>0</v>
      </c>
      <c r="K7" s="32">
        <f>IF(K$2&gt;=Assumptions!$C$31,Assumptions!$C$23*Assumptions!$C$5*(1+Assumptions!$C$24)^(K$4-1),0)</f>
        <v>0</v>
      </c>
      <c r="L7" s="32">
        <f>IF(L$2&gt;=Assumptions!$C$31,Assumptions!$C$23*Assumptions!$C$5*(1+Assumptions!$C$24)^(L$4-1),0)</f>
        <v>0</v>
      </c>
      <c r="M7" s="32">
        <f>IF(M$2&gt;=Assumptions!$C$31,Assumptions!$C$23*Assumptions!$C$5*(1+Assumptions!$C$24)^(M$4-1),0)</f>
        <v>0</v>
      </c>
      <c r="N7" s="32">
        <f>IF(N$2&gt;=Assumptions!$C$31,Assumptions!$C$23*Assumptions!$C$5*(1+Assumptions!$C$24)^(N$4-1),0)</f>
        <v>0</v>
      </c>
      <c r="O7" s="32">
        <f>IF(O$2&gt;=Assumptions!$C$31,Assumptions!$C$23*Assumptions!$C$5*(1+Assumptions!$C$24)^(O$4-1),0)</f>
        <v>0</v>
      </c>
      <c r="P7" s="32">
        <f>IF(P$2&gt;=Assumptions!$C$31,Assumptions!$C$23*Assumptions!$C$5*(1+Assumptions!$C$24)^(P$4-1),0)</f>
        <v>0</v>
      </c>
      <c r="Q7" s="32">
        <f>IF(Q$2&gt;=Assumptions!$C$31,Assumptions!$C$23*Assumptions!$C$5*(1+Assumptions!$C$24)^(Q$4-1),0)</f>
        <v>0</v>
      </c>
      <c r="R7" s="32">
        <f>IF(R$2&gt;=Assumptions!$C$31,Assumptions!$C$23*Assumptions!$C$5*(1+Assumptions!$C$24)^(R$4-1),0)</f>
        <v>0</v>
      </c>
      <c r="S7" s="32">
        <f>IF(S$2&gt;=Assumptions!$C$31,Assumptions!$C$23*Assumptions!$C$5*(1+Assumptions!$C$24)^(S$4-1),0)</f>
        <v>64162</v>
      </c>
      <c r="T7" s="32">
        <f>IF(T$2&gt;=Assumptions!$C$31,Assumptions!$C$23*Assumptions!$C$5*(1+Assumptions!$C$24)^(T$4-1),0)</f>
        <v>64162</v>
      </c>
      <c r="U7" s="32">
        <f>IF(U$2&gt;=Assumptions!$C$31,Assumptions!$C$23*Assumptions!$C$5*(1+Assumptions!$C$24)^(U$4-1),0)</f>
        <v>64162</v>
      </c>
      <c r="V7" s="32">
        <f>IF(V$2&gt;=Assumptions!$C$31,Assumptions!$C$23*Assumptions!$C$5*(1+Assumptions!$C$24)^(V$4-1),0)</f>
        <v>64162</v>
      </c>
      <c r="W7" s="32">
        <f>IF(W$2&gt;=Assumptions!$C$31,Assumptions!$C$23*Assumptions!$C$5*(1+Assumptions!$C$24)^(W$4-1),0)</f>
        <v>64162</v>
      </c>
      <c r="X7" s="32">
        <f>IF(X$2&gt;=Assumptions!$C$31,Assumptions!$C$23*Assumptions!$C$5*(1+Assumptions!$C$24)^(X$4-1),0)</f>
        <v>64162</v>
      </c>
      <c r="Y7" s="32">
        <f>IF(Y$2&gt;=Assumptions!$C$31,Assumptions!$C$23*Assumptions!$C$5*(1+Assumptions!$C$24)^(Y$4-1),0)</f>
        <v>64162</v>
      </c>
      <c r="Z7" s="32">
        <f>IF(Z$2&gt;=Assumptions!$C$31,Assumptions!$C$23*Assumptions!$C$5*(1+Assumptions!$C$24)^(Z$4-1),0)</f>
        <v>64162</v>
      </c>
      <c r="AA7" s="32">
        <f>IF(AA$2&gt;=Assumptions!$C$31,Assumptions!$C$23*Assumptions!$C$5*(1+Assumptions!$C$24)^(AA$4-1),0)</f>
        <v>64162</v>
      </c>
      <c r="AB7" s="32">
        <f>IF(AB$2&gt;=Assumptions!$C$31,Assumptions!$C$23*Assumptions!$C$5*(1+Assumptions!$C$24)^(AB$4-1),0)</f>
        <v>66407.67</v>
      </c>
      <c r="AC7" s="32">
        <f>IF(AC$2&gt;=Assumptions!$C$31,Assumptions!$C$23*Assumptions!$C$5*(1+Assumptions!$C$24)^(AC$4-1),0)</f>
        <v>66407.67</v>
      </c>
      <c r="AD7" s="32">
        <f>IF(AD$2&gt;=Assumptions!$C$31,Assumptions!$C$23*Assumptions!$C$5*(1+Assumptions!$C$24)^(AD$4-1),0)</f>
        <v>66407.67</v>
      </c>
      <c r="AE7" s="32">
        <f>IF(AE$2&gt;=Assumptions!$C$31,Assumptions!$C$23*Assumptions!$C$5*(1+Assumptions!$C$24)^(AE$4-1),0)</f>
        <v>66407.67</v>
      </c>
      <c r="AF7" s="32">
        <f>IF(AF$2&gt;=Assumptions!$C$31,Assumptions!$C$23*Assumptions!$C$5*(1+Assumptions!$C$24)^(AF$4-1),0)</f>
        <v>66407.67</v>
      </c>
      <c r="AG7" s="32">
        <f>IF(AG$2&gt;=Assumptions!$C$31,Assumptions!$C$23*Assumptions!$C$5*(1+Assumptions!$C$24)^(AG$4-1),0)</f>
        <v>66407.67</v>
      </c>
      <c r="AH7" s="32">
        <f>IF(AH$2&gt;=Assumptions!$C$31,Assumptions!$C$23*Assumptions!$C$5*(1+Assumptions!$C$24)^(AH$4-1),0)</f>
        <v>66407.67</v>
      </c>
      <c r="AI7" s="32">
        <f>IF(AI$2&gt;=Assumptions!$C$31,Assumptions!$C$23*Assumptions!$C$5*(1+Assumptions!$C$24)^(AI$4-1),0)</f>
        <v>66407.67</v>
      </c>
      <c r="AJ7" s="32">
        <f>IF(AJ$2&gt;=Assumptions!$C$31,Assumptions!$C$23*Assumptions!$C$5*(1+Assumptions!$C$24)^(AJ$4-1),0)</f>
        <v>66407.67</v>
      </c>
      <c r="AK7" s="32">
        <f>IF(AK$2&gt;=Assumptions!$C$31,Assumptions!$C$23*Assumptions!$C$5*(1+Assumptions!$C$24)^(AK$4-1),0)</f>
        <v>66407.67</v>
      </c>
      <c r="AL7" s="32">
        <f>IF(AL$2&gt;=Assumptions!$C$31,Assumptions!$C$23*Assumptions!$C$5*(1+Assumptions!$C$24)^(AL$4-1),0)</f>
        <v>66407.67</v>
      </c>
      <c r="AM7" s="32">
        <f>IF(AM$2&gt;=Assumptions!$C$31,Assumptions!$C$23*Assumptions!$C$5*(1+Assumptions!$C$24)^(AM$4-1),0)</f>
        <v>66407.67</v>
      </c>
      <c r="AN7" s="32">
        <f>IF(AN$2&gt;=Assumptions!$C$31,Assumptions!$C$23*Assumptions!$C$5*(1+Assumptions!$C$24)^(AN$4-1),0)</f>
        <v>68731.938449999987</v>
      </c>
      <c r="AO7" s="32">
        <f>IF(AO$2&gt;=Assumptions!$C$31,Assumptions!$C$23*Assumptions!$C$5*(1+Assumptions!$C$24)^(AO$4-1),0)</f>
        <v>68731.938449999987</v>
      </c>
      <c r="AP7" s="32">
        <f>IF(AP$2&gt;=Assumptions!$C$31,Assumptions!$C$23*Assumptions!$C$5*(1+Assumptions!$C$24)^(AP$4-1),0)</f>
        <v>68731.938449999987</v>
      </c>
      <c r="AQ7" s="32">
        <f>IF(AQ$2&gt;=Assumptions!$C$31,Assumptions!$C$23*Assumptions!$C$5*(1+Assumptions!$C$24)^(AQ$4-1),0)</f>
        <v>68731.938449999987</v>
      </c>
      <c r="AR7" s="32">
        <f>IF(AR$2&gt;=Assumptions!$C$31,Assumptions!$C$23*Assumptions!$C$5*(1+Assumptions!$C$24)^(AR$4-1),0)</f>
        <v>68731.938449999987</v>
      </c>
      <c r="AS7" s="32">
        <f>IF(AS$2&gt;=Assumptions!$C$31,Assumptions!$C$23*Assumptions!$C$5*(1+Assumptions!$C$24)^(AS$4-1),0)</f>
        <v>68731.938449999987</v>
      </c>
      <c r="AT7" s="32">
        <f>IF(AT$2&gt;=Assumptions!$C$31,Assumptions!$C$23*Assumptions!$C$5*(1+Assumptions!$C$24)^(AT$4-1),0)</f>
        <v>68731.938449999987</v>
      </c>
      <c r="AU7" s="32">
        <f>IF(AU$2&gt;=Assumptions!$C$31,Assumptions!$C$23*Assumptions!$C$5*(1+Assumptions!$C$24)^(AU$4-1),0)</f>
        <v>68731.938449999987</v>
      </c>
      <c r="AV7" s="32">
        <f>IF(AV$2&gt;=Assumptions!$C$31,Assumptions!$C$23*Assumptions!$C$5*(1+Assumptions!$C$24)^(AV$4-1),0)</f>
        <v>68731.938449999987</v>
      </c>
      <c r="AW7" s="32">
        <f>IF(AW$2&gt;=Assumptions!$C$31,Assumptions!$C$23*Assumptions!$C$5*(1+Assumptions!$C$24)^(AW$4-1),0)</f>
        <v>68731.938449999987</v>
      </c>
      <c r="AX7" s="32">
        <f>IF(AX$2&gt;=Assumptions!$C$31,Assumptions!$C$23*Assumptions!$C$5*(1+Assumptions!$C$24)^(AX$4-1),0)</f>
        <v>68731.938449999987</v>
      </c>
      <c r="AY7" s="32">
        <f>IF(AY$2&gt;=Assumptions!$C$31,Assumptions!$C$23*Assumptions!$C$5*(1+Assumptions!$C$24)^(AY$4-1),0)</f>
        <v>68731.938449999987</v>
      </c>
      <c r="AZ7" s="32">
        <f>IF(AZ$2&gt;=Assumptions!$C$31,Assumptions!$C$23*Assumptions!$C$5*(1+Assumptions!$C$24)^(AZ$4-1),0)</f>
        <v>71137.556295749979</v>
      </c>
      <c r="BA7" s="32">
        <f>IF(BA$2&gt;=Assumptions!$C$31,Assumptions!$C$23*Assumptions!$C$5*(1+Assumptions!$C$24)^(BA$4-1),0)</f>
        <v>71137.556295749979</v>
      </c>
      <c r="BB7" s="32">
        <f>IF(BB$2&gt;=Assumptions!$C$31,Assumptions!$C$23*Assumptions!$C$5*(1+Assumptions!$C$24)^(BB$4-1),0)</f>
        <v>71137.556295749979</v>
      </c>
      <c r="BC7" s="32">
        <f>IF(BC$2&gt;=Assumptions!$C$31,Assumptions!$C$23*Assumptions!$C$5*(1+Assumptions!$C$24)^(BC$4-1),0)</f>
        <v>71137.556295749979</v>
      </c>
      <c r="BD7" s="32">
        <f>IF(BD$2&gt;=Assumptions!$C$31,Assumptions!$C$23*Assumptions!$C$5*(1+Assumptions!$C$24)^(BD$4-1),0)</f>
        <v>71137.556295749979</v>
      </c>
      <c r="BE7" s="32">
        <f>IF(BE$2&gt;=Assumptions!$C$31,Assumptions!$C$23*Assumptions!$C$5*(1+Assumptions!$C$24)^(BE$4-1),0)</f>
        <v>71137.556295749979</v>
      </c>
      <c r="BF7" s="32">
        <f>IF(BF$2&gt;=Assumptions!$C$31,Assumptions!$C$23*Assumptions!$C$5*(1+Assumptions!$C$24)^(BF$4-1),0)</f>
        <v>71137.556295749979</v>
      </c>
      <c r="BG7" s="32">
        <f>IF(BG$2&gt;=Assumptions!$C$31,Assumptions!$C$23*Assumptions!$C$5*(1+Assumptions!$C$24)^(BG$4-1),0)</f>
        <v>71137.556295749979</v>
      </c>
      <c r="BH7" s="32">
        <f>IF(BH$2&gt;=Assumptions!$C$31,Assumptions!$C$23*Assumptions!$C$5*(1+Assumptions!$C$24)^(BH$4-1),0)</f>
        <v>71137.556295749979</v>
      </c>
      <c r="BI7" s="32">
        <f>IF(BI$2&gt;=Assumptions!$C$31,Assumptions!$C$23*Assumptions!$C$5*(1+Assumptions!$C$24)^(BI$4-1),0)</f>
        <v>71137.556295749979</v>
      </c>
      <c r="BJ7" s="32">
        <f>IF(BJ$2&gt;=Assumptions!$C$31,Assumptions!$C$23*Assumptions!$C$5*(1+Assumptions!$C$24)^(BJ$4-1),0)</f>
        <v>71137.556295749979</v>
      </c>
      <c r="BK7" s="32">
        <f>IF(BK$2&gt;=Assumptions!$C$31,Assumptions!$C$23*Assumptions!$C$5*(1+Assumptions!$C$24)^(BK$4-1),0)</f>
        <v>71137.556295749979</v>
      </c>
      <c r="BL7" s="32">
        <f>IF(BL$2&gt;=Assumptions!$C$31,Assumptions!$C$23*Assumptions!$C$5*(1+Assumptions!$C$24)^(BL$4-1),0)</f>
        <v>73627.37076610123</v>
      </c>
    </row>
    <row r="8" spans="2:64" x14ac:dyDescent="0.2">
      <c r="B8" s="16" t="s">
        <v>142</v>
      </c>
      <c r="D8" s="32">
        <f>IF(D$2&gt;=Assumptions!$C$30,Assumptions!$C$38*Assumptions!$C$5,0)</f>
        <v>0</v>
      </c>
      <c r="E8" s="32">
        <f>IF(E$2&gt;=Assumptions!$C$30,Assumptions!$C$38*Assumptions!$C$5,0)</f>
        <v>0</v>
      </c>
      <c r="F8" s="32">
        <f>IF(F$2&gt;=Assumptions!$C$30,Assumptions!$C$38*Assumptions!$C$5,0)</f>
        <v>0</v>
      </c>
      <c r="G8" s="32">
        <f>IF(G$2&gt;=Assumptions!$C$30,Assumptions!$C$38*Assumptions!$C$5,0)</f>
        <v>0</v>
      </c>
      <c r="H8" s="32">
        <f>IF(H$2&gt;=Assumptions!$C$30,Assumptions!$C$38*Assumptions!$C$5,0)</f>
        <v>0</v>
      </c>
      <c r="I8" s="32">
        <f>IF(I$2&gt;=Assumptions!$C$30,Assumptions!$C$38*Assumptions!$C$5,0)</f>
        <v>0</v>
      </c>
      <c r="J8" s="32">
        <f>IF(J$2&gt;=Assumptions!$C$30,Assumptions!$C$38*Assumptions!$C$5,0)</f>
        <v>0</v>
      </c>
      <c r="K8" s="32">
        <f>IF(K$2&gt;=Assumptions!$C$30,Assumptions!$C$38*Assumptions!$C$5,0)</f>
        <v>0</v>
      </c>
      <c r="L8" s="32">
        <f>IF(L$2&gt;=Assumptions!$C$30,Assumptions!$C$38*Assumptions!$C$5,0)</f>
        <v>0</v>
      </c>
      <c r="M8" s="32">
        <f>IF(M$2&gt;=Assumptions!$C$30,Assumptions!$C$38*Assumptions!$C$5,0)</f>
        <v>0</v>
      </c>
      <c r="N8" s="32">
        <f>IF(N$2&gt;=Assumptions!$C$30,Assumptions!$C$38*Assumptions!$C$5,0)</f>
        <v>0</v>
      </c>
      <c r="O8" s="32">
        <f>IF(O$2&gt;=Assumptions!$C$30,Assumptions!$C$38*Assumptions!$C$5,0)</f>
        <v>0</v>
      </c>
      <c r="P8" s="32">
        <f>IF(P$2&gt;=Assumptions!$C$30,Assumptions!$C$38*Assumptions!$C$5,0)</f>
        <v>14810.125</v>
      </c>
      <c r="Q8" s="32">
        <f>IF(Q$2&gt;=Assumptions!$C$30,Assumptions!$C$38*Assumptions!$C$5,0)</f>
        <v>14810.125</v>
      </c>
      <c r="R8" s="32">
        <f>IF(R$2&gt;=Assumptions!$C$30,Assumptions!$C$38*Assumptions!$C$5,0)</f>
        <v>14810.125</v>
      </c>
      <c r="S8" s="32">
        <f>IF(S$2&gt;=Assumptions!$C$30,Assumptions!$C$38*Assumptions!$C$5,0)</f>
        <v>14810.125</v>
      </c>
      <c r="T8" s="32">
        <f>IF(T$2&gt;=Assumptions!$C$30,Assumptions!$C$38*Assumptions!$C$5,0)</f>
        <v>14810.125</v>
      </c>
      <c r="U8" s="32">
        <f>IF(U$2&gt;=Assumptions!$C$30,Assumptions!$C$38*Assumptions!$C$5,0)</f>
        <v>14810.125</v>
      </c>
      <c r="V8" s="32">
        <f>IF(V$2&gt;=Assumptions!$C$30,Assumptions!$C$38*Assumptions!$C$5,0)</f>
        <v>14810.125</v>
      </c>
      <c r="W8" s="32">
        <f>IF(W$2&gt;=Assumptions!$C$30,Assumptions!$C$38*Assumptions!$C$5,0)</f>
        <v>14810.125</v>
      </c>
      <c r="X8" s="32">
        <f>IF(X$2&gt;=Assumptions!$C$30,Assumptions!$C$38*Assumptions!$C$5,0)</f>
        <v>14810.125</v>
      </c>
      <c r="Y8" s="32">
        <f>IF(Y$2&gt;=Assumptions!$C$30,Assumptions!$C$38*Assumptions!$C$5,0)</f>
        <v>14810.125</v>
      </c>
      <c r="Z8" s="32">
        <f>IF(Z$2&gt;=Assumptions!$C$30,Assumptions!$C$38*Assumptions!$C$5,0)</f>
        <v>14810.125</v>
      </c>
      <c r="AA8" s="32">
        <f>IF(AA$2&gt;=Assumptions!$C$30,Assumptions!$C$38*Assumptions!$C$5,0)</f>
        <v>14810.125</v>
      </c>
      <c r="AB8" s="32">
        <f>IF(AB$2&gt;=Assumptions!$C$30,Assumptions!$C$38*Assumptions!$C$5,0)</f>
        <v>14810.125</v>
      </c>
      <c r="AC8" s="32">
        <f>IF(AC$2&gt;=Assumptions!$C$30,Assumptions!$C$38*Assumptions!$C$5,0)</f>
        <v>14810.125</v>
      </c>
      <c r="AD8" s="32">
        <f>IF(AD$2&gt;=Assumptions!$C$30,Assumptions!$C$38*Assumptions!$C$5,0)</f>
        <v>14810.125</v>
      </c>
      <c r="AE8" s="32">
        <f>IF(AE$2&gt;=Assumptions!$C$30,Assumptions!$C$38*Assumptions!$C$5,0)</f>
        <v>14810.125</v>
      </c>
      <c r="AF8" s="32">
        <f>IF(AF$2&gt;=Assumptions!$C$30,Assumptions!$C$38*Assumptions!$C$5,0)</f>
        <v>14810.125</v>
      </c>
      <c r="AG8" s="32">
        <f>IF(AG$2&gt;=Assumptions!$C$30,Assumptions!$C$38*Assumptions!$C$5,0)</f>
        <v>14810.125</v>
      </c>
      <c r="AH8" s="32">
        <f>IF(AH$2&gt;=Assumptions!$C$30,Assumptions!$C$38*Assumptions!$C$5,0)</f>
        <v>14810.125</v>
      </c>
      <c r="AI8" s="32">
        <f>IF(AI$2&gt;=Assumptions!$C$30,Assumptions!$C$38*Assumptions!$C$5,0)</f>
        <v>14810.125</v>
      </c>
      <c r="AJ8" s="32">
        <f>IF(AJ$2&gt;=Assumptions!$C$30,Assumptions!$C$38*Assumptions!$C$5,0)</f>
        <v>14810.125</v>
      </c>
      <c r="AK8" s="32">
        <f>IF(AK$2&gt;=Assumptions!$C$30,Assumptions!$C$38*Assumptions!$C$5,0)</f>
        <v>14810.125</v>
      </c>
      <c r="AL8" s="32">
        <f>IF(AL$2&gt;=Assumptions!$C$30,Assumptions!$C$38*Assumptions!$C$5,0)</f>
        <v>14810.125</v>
      </c>
      <c r="AM8" s="32">
        <f>IF(AM$2&gt;=Assumptions!$C$30,Assumptions!$C$38*Assumptions!$C$5,0)</f>
        <v>14810.125</v>
      </c>
      <c r="AN8" s="32">
        <f>IF(AN$2&gt;=Assumptions!$C$30,Assumptions!$C$38*Assumptions!$C$5,0)</f>
        <v>14810.125</v>
      </c>
      <c r="AO8" s="32">
        <f>IF(AO$2&gt;=Assumptions!$C$30,Assumptions!$C$38*Assumptions!$C$5,0)</f>
        <v>14810.125</v>
      </c>
      <c r="AP8" s="32">
        <f>IF(AP$2&gt;=Assumptions!$C$30,Assumptions!$C$38*Assumptions!$C$5,0)</f>
        <v>14810.125</v>
      </c>
      <c r="AQ8" s="32">
        <f>IF(AQ$2&gt;=Assumptions!$C$30,Assumptions!$C$38*Assumptions!$C$5,0)</f>
        <v>14810.125</v>
      </c>
      <c r="AR8" s="32">
        <f>IF(AR$2&gt;=Assumptions!$C$30,Assumptions!$C$38*Assumptions!$C$5,0)</f>
        <v>14810.125</v>
      </c>
      <c r="AS8" s="32">
        <f>IF(AS$2&gt;=Assumptions!$C$30,Assumptions!$C$38*Assumptions!$C$5,0)</f>
        <v>14810.125</v>
      </c>
      <c r="AT8" s="32">
        <f>IF(AT$2&gt;=Assumptions!$C$30,Assumptions!$C$38*Assumptions!$C$5,0)</f>
        <v>14810.125</v>
      </c>
      <c r="AU8" s="32">
        <f>IF(AU$2&gt;=Assumptions!$C$30,Assumptions!$C$38*Assumptions!$C$5,0)</f>
        <v>14810.125</v>
      </c>
      <c r="AV8" s="32">
        <f>IF(AV$2&gt;=Assumptions!$C$30,Assumptions!$C$38*Assumptions!$C$5,0)</f>
        <v>14810.125</v>
      </c>
      <c r="AW8" s="32">
        <f>IF(AW$2&gt;=Assumptions!$C$30,Assumptions!$C$38*Assumptions!$C$5,0)</f>
        <v>14810.125</v>
      </c>
      <c r="AX8" s="32">
        <f>IF(AX$2&gt;=Assumptions!$C$30,Assumptions!$C$38*Assumptions!$C$5,0)</f>
        <v>14810.125</v>
      </c>
      <c r="AY8" s="32">
        <f>IF(AY$2&gt;=Assumptions!$C$30,Assumptions!$C$38*Assumptions!$C$5,0)</f>
        <v>14810.125</v>
      </c>
      <c r="AZ8" s="32">
        <f>IF(AZ$2&gt;=Assumptions!$C$30,Assumptions!$C$38*Assumptions!$C$5,0)</f>
        <v>14810.125</v>
      </c>
      <c r="BA8" s="32">
        <f>IF(BA$2&gt;=Assumptions!$C$30,Assumptions!$C$38*Assumptions!$C$5,0)</f>
        <v>14810.125</v>
      </c>
      <c r="BB8" s="32">
        <f>IF(BB$2&gt;=Assumptions!$C$30,Assumptions!$C$38*Assumptions!$C$5,0)</f>
        <v>14810.125</v>
      </c>
      <c r="BC8" s="32">
        <f>IF(BC$2&gt;=Assumptions!$C$30,Assumptions!$C$38*Assumptions!$C$5,0)</f>
        <v>14810.125</v>
      </c>
      <c r="BD8" s="32">
        <f>IF(BD$2&gt;=Assumptions!$C$30,Assumptions!$C$38*Assumptions!$C$5,0)</f>
        <v>14810.125</v>
      </c>
      <c r="BE8" s="32">
        <f>IF(BE$2&gt;=Assumptions!$C$30,Assumptions!$C$38*Assumptions!$C$5,0)</f>
        <v>14810.125</v>
      </c>
      <c r="BF8" s="32">
        <f>IF(BF$2&gt;=Assumptions!$C$30,Assumptions!$C$38*Assumptions!$C$5,0)</f>
        <v>14810.125</v>
      </c>
      <c r="BG8" s="32">
        <f>IF(BG$2&gt;=Assumptions!$C$30,Assumptions!$C$38*Assumptions!$C$5,0)</f>
        <v>14810.125</v>
      </c>
      <c r="BH8" s="32">
        <f>IF(BH$2&gt;=Assumptions!$C$30,Assumptions!$C$38*Assumptions!$C$5,0)</f>
        <v>14810.125</v>
      </c>
      <c r="BI8" s="32">
        <f>IF(BI$2&gt;=Assumptions!$C$30,Assumptions!$C$38*Assumptions!$C$5,0)</f>
        <v>14810.125</v>
      </c>
      <c r="BJ8" s="32">
        <f>IF(BJ$2&gt;=Assumptions!$C$30,Assumptions!$C$38*Assumptions!$C$5,0)</f>
        <v>14810.125</v>
      </c>
      <c r="BK8" s="32">
        <f>IF(BK$2&gt;=Assumptions!$C$30,Assumptions!$C$38*Assumptions!$C$5,0)</f>
        <v>14810.125</v>
      </c>
      <c r="BL8" s="32">
        <f>IF(BL$2&gt;=Assumptions!$C$30,Assumptions!$C$38*Assumptions!$C$5,0)</f>
        <v>14810.125</v>
      </c>
    </row>
    <row r="9" spans="2:64" x14ac:dyDescent="0.2">
      <c r="B9" s="16" t="s">
        <v>143</v>
      </c>
      <c r="D9" s="32">
        <f>-(D7+D8)*Assumptions!$C$41</f>
        <v>0</v>
      </c>
      <c r="E9" s="32">
        <f>-(E7+E8)*Assumptions!$C$41</f>
        <v>0</v>
      </c>
      <c r="F9" s="32">
        <f>-(F7+F8)*Assumptions!$C$41</f>
        <v>0</v>
      </c>
      <c r="G9" s="32">
        <f>-(G7+G8)*Assumptions!$C$41</f>
        <v>0</v>
      </c>
      <c r="H9" s="32">
        <f>-(H7+H8)*Assumptions!$C$41</f>
        <v>0</v>
      </c>
      <c r="I9" s="32">
        <f>-(I7+I8)*Assumptions!$C$41</f>
        <v>0</v>
      </c>
      <c r="J9" s="32">
        <f>-(J7+J8)*Assumptions!$C$41</f>
        <v>0</v>
      </c>
      <c r="K9" s="32">
        <f>-(K7+K8)*Assumptions!$C$41</f>
        <v>0</v>
      </c>
      <c r="L9" s="32">
        <f>-(L7+L8)*Assumptions!$C$41</f>
        <v>0</v>
      </c>
      <c r="M9" s="32">
        <f>-(M7+M8)*Assumptions!$C$41</f>
        <v>0</v>
      </c>
      <c r="N9" s="32">
        <f>-(N7+N8)*Assumptions!$C$41</f>
        <v>0</v>
      </c>
      <c r="O9" s="32">
        <f>-(O7+O8)*Assumptions!$C$41</f>
        <v>0</v>
      </c>
      <c r="P9" s="32">
        <f>-(P7+P8)*Assumptions!$C$41</f>
        <v>-740.50625000000002</v>
      </c>
      <c r="Q9" s="32">
        <f>-(Q7+Q8)*Assumptions!$C$41</f>
        <v>-740.50625000000002</v>
      </c>
      <c r="R9" s="32">
        <f>-(R7+R8)*Assumptions!$C$41</f>
        <v>-740.50625000000002</v>
      </c>
      <c r="S9" s="32">
        <f>-(S7+S8)*Assumptions!$C$41</f>
        <v>-3948.6062500000003</v>
      </c>
      <c r="T9" s="32">
        <f>-(T7+T8)*Assumptions!$C$41</f>
        <v>-3948.6062500000003</v>
      </c>
      <c r="U9" s="32">
        <f>-(U7+U8)*Assumptions!$C$41</f>
        <v>-3948.6062500000003</v>
      </c>
      <c r="V9" s="32">
        <f>-(V7+V8)*Assumptions!$C$41</f>
        <v>-3948.6062500000003</v>
      </c>
      <c r="W9" s="32">
        <f>-(W7+W8)*Assumptions!$C$41</f>
        <v>-3948.6062500000003</v>
      </c>
      <c r="X9" s="32">
        <f>-(X7+X8)*Assumptions!$C$41</f>
        <v>-3948.6062500000003</v>
      </c>
      <c r="Y9" s="32">
        <f>-(Y7+Y8)*Assumptions!$C$41</f>
        <v>-3948.6062500000003</v>
      </c>
      <c r="Z9" s="32">
        <f>-(Z7+Z8)*Assumptions!$C$41</f>
        <v>-3948.6062500000003</v>
      </c>
      <c r="AA9" s="32">
        <f>-(AA7+AA8)*Assumptions!$C$41</f>
        <v>-3948.6062500000003</v>
      </c>
      <c r="AB9" s="32">
        <f>-(AB7+AB8)*Assumptions!$C$41</f>
        <v>-4060.8897500000003</v>
      </c>
      <c r="AC9" s="32">
        <f>-(AC7+AC8)*Assumptions!$C$41</f>
        <v>-4060.8897500000003</v>
      </c>
      <c r="AD9" s="32">
        <f>-(AD7+AD8)*Assumptions!$C$41</f>
        <v>-4060.8897500000003</v>
      </c>
      <c r="AE9" s="32">
        <f>-(AE7+AE8)*Assumptions!$C$41</f>
        <v>-4060.8897500000003</v>
      </c>
      <c r="AF9" s="32">
        <f>-(AF7+AF8)*Assumptions!$C$41</f>
        <v>-4060.8897500000003</v>
      </c>
      <c r="AG9" s="32">
        <f>-(AG7+AG8)*Assumptions!$C$41</f>
        <v>-4060.8897500000003</v>
      </c>
      <c r="AH9" s="32">
        <f>-(AH7+AH8)*Assumptions!$C$41</f>
        <v>-4060.8897500000003</v>
      </c>
      <c r="AI9" s="32">
        <f>-(AI7+AI8)*Assumptions!$C$41</f>
        <v>-4060.8897500000003</v>
      </c>
      <c r="AJ9" s="32">
        <f>-(AJ7+AJ8)*Assumptions!$C$41</f>
        <v>-4060.8897500000003</v>
      </c>
      <c r="AK9" s="32">
        <f>-(AK7+AK8)*Assumptions!$C$41</f>
        <v>-4060.8897500000003</v>
      </c>
      <c r="AL9" s="32">
        <f>-(AL7+AL8)*Assumptions!$C$41</f>
        <v>-4060.8897500000003</v>
      </c>
      <c r="AM9" s="32">
        <f>-(AM7+AM8)*Assumptions!$C$41</f>
        <v>-4060.8897500000003</v>
      </c>
      <c r="AN9" s="32">
        <f>-(AN7+AN8)*Assumptions!$C$41</f>
        <v>-4177.1031724999993</v>
      </c>
      <c r="AO9" s="32">
        <f>-(AO7+AO8)*Assumptions!$C$41</f>
        <v>-4177.1031724999993</v>
      </c>
      <c r="AP9" s="32">
        <f>-(AP7+AP8)*Assumptions!$C$41</f>
        <v>-4177.1031724999993</v>
      </c>
      <c r="AQ9" s="32">
        <f>-(AQ7+AQ8)*Assumptions!$C$41</f>
        <v>-4177.1031724999993</v>
      </c>
      <c r="AR9" s="32">
        <f>-(AR7+AR8)*Assumptions!$C$41</f>
        <v>-4177.1031724999993</v>
      </c>
      <c r="AS9" s="32">
        <f>-(AS7+AS8)*Assumptions!$C$41</f>
        <v>-4177.1031724999993</v>
      </c>
      <c r="AT9" s="32">
        <f>-(AT7+AT8)*Assumptions!$C$41</f>
        <v>-4177.1031724999993</v>
      </c>
      <c r="AU9" s="32">
        <f>-(AU7+AU8)*Assumptions!$C$41</f>
        <v>-4177.1031724999993</v>
      </c>
      <c r="AV9" s="32">
        <f>-(AV7+AV8)*Assumptions!$C$41</f>
        <v>-4177.1031724999993</v>
      </c>
      <c r="AW9" s="32">
        <f>-(AW7+AW8)*Assumptions!$C$41</f>
        <v>-4177.1031724999993</v>
      </c>
      <c r="AX9" s="32">
        <f>-(AX7+AX8)*Assumptions!$C$41</f>
        <v>-4177.1031724999993</v>
      </c>
      <c r="AY9" s="32">
        <f>-(AY7+AY8)*Assumptions!$C$41</f>
        <v>-4177.1031724999993</v>
      </c>
      <c r="AZ9" s="32">
        <f>-(AZ7+AZ8)*Assumptions!$C$41</f>
        <v>-4297.3840647874995</v>
      </c>
      <c r="BA9" s="32">
        <f>-(BA7+BA8)*Assumptions!$C$41</f>
        <v>-4297.3840647874995</v>
      </c>
      <c r="BB9" s="32">
        <f>-(BB7+BB8)*Assumptions!$C$41</f>
        <v>-4297.3840647874995</v>
      </c>
      <c r="BC9" s="32">
        <f>-(BC7+BC8)*Assumptions!$C$41</f>
        <v>-4297.3840647874995</v>
      </c>
      <c r="BD9" s="32">
        <f>-(BD7+BD8)*Assumptions!$C$41</f>
        <v>-4297.3840647874995</v>
      </c>
      <c r="BE9" s="32">
        <f>-(BE7+BE8)*Assumptions!$C$41</f>
        <v>-4297.3840647874995</v>
      </c>
      <c r="BF9" s="32">
        <f>-(BF7+BF8)*Assumptions!$C$41</f>
        <v>-4297.3840647874995</v>
      </c>
      <c r="BG9" s="32">
        <f>-(BG7+BG8)*Assumptions!$C$41</f>
        <v>-4297.3840647874995</v>
      </c>
      <c r="BH9" s="32">
        <f>-(BH7+BH8)*Assumptions!$C$41</f>
        <v>-4297.3840647874995</v>
      </c>
      <c r="BI9" s="32">
        <f>-(BI7+BI8)*Assumptions!$C$41</f>
        <v>-4297.3840647874995</v>
      </c>
      <c r="BJ9" s="32">
        <f>-(BJ7+BJ8)*Assumptions!$C$41</f>
        <v>-4297.3840647874995</v>
      </c>
      <c r="BK9" s="32">
        <f>-(BK7+BK8)*Assumptions!$C$41</f>
        <v>-4297.3840647874995</v>
      </c>
      <c r="BL9" s="32">
        <f>-(BL7+BL8)*Assumptions!$C$41</f>
        <v>-4421.8747883050619</v>
      </c>
    </row>
    <row r="10" spans="2:64" x14ac:dyDescent="0.2">
      <c r="B10" s="4" t="s">
        <v>144</v>
      </c>
      <c r="C10" s="33"/>
      <c r="D10" s="34">
        <f t="shared" ref="D10:AI10" si="4">SUM(D7:D9)</f>
        <v>0</v>
      </c>
      <c r="E10" s="34">
        <f t="shared" si="4"/>
        <v>0</v>
      </c>
      <c r="F10" s="34">
        <f t="shared" si="4"/>
        <v>0</v>
      </c>
      <c r="G10" s="34">
        <f t="shared" si="4"/>
        <v>0</v>
      </c>
      <c r="H10" s="34">
        <f t="shared" si="4"/>
        <v>0</v>
      </c>
      <c r="I10" s="34">
        <f t="shared" si="4"/>
        <v>0</v>
      </c>
      <c r="J10" s="34">
        <f t="shared" si="4"/>
        <v>0</v>
      </c>
      <c r="K10" s="34">
        <f t="shared" si="4"/>
        <v>0</v>
      </c>
      <c r="L10" s="34">
        <f t="shared" si="4"/>
        <v>0</v>
      </c>
      <c r="M10" s="34">
        <f t="shared" si="4"/>
        <v>0</v>
      </c>
      <c r="N10" s="34">
        <f t="shared" si="4"/>
        <v>0</v>
      </c>
      <c r="O10" s="34">
        <f t="shared" si="4"/>
        <v>0</v>
      </c>
      <c r="P10" s="34">
        <f t="shared" si="4"/>
        <v>14069.61875</v>
      </c>
      <c r="Q10" s="34">
        <f t="shared" si="4"/>
        <v>14069.61875</v>
      </c>
      <c r="R10" s="34">
        <f t="shared" si="4"/>
        <v>14069.61875</v>
      </c>
      <c r="S10" s="34">
        <f t="shared" si="4"/>
        <v>75023.518750000003</v>
      </c>
      <c r="T10" s="34">
        <f t="shared" si="4"/>
        <v>75023.518750000003</v>
      </c>
      <c r="U10" s="34">
        <f t="shared" si="4"/>
        <v>75023.518750000003</v>
      </c>
      <c r="V10" s="34">
        <f t="shared" si="4"/>
        <v>75023.518750000003</v>
      </c>
      <c r="W10" s="34">
        <f t="shared" si="4"/>
        <v>75023.518750000003</v>
      </c>
      <c r="X10" s="34">
        <f t="shared" si="4"/>
        <v>75023.518750000003</v>
      </c>
      <c r="Y10" s="34">
        <f t="shared" si="4"/>
        <v>75023.518750000003</v>
      </c>
      <c r="Z10" s="34">
        <f t="shared" si="4"/>
        <v>75023.518750000003</v>
      </c>
      <c r="AA10" s="34">
        <f t="shared" si="4"/>
        <v>75023.518750000003</v>
      </c>
      <c r="AB10" s="34">
        <f t="shared" si="4"/>
        <v>77156.905249999996</v>
      </c>
      <c r="AC10" s="34">
        <f t="shared" si="4"/>
        <v>77156.905249999996</v>
      </c>
      <c r="AD10" s="34">
        <f t="shared" si="4"/>
        <v>77156.905249999996</v>
      </c>
      <c r="AE10" s="34">
        <f t="shared" si="4"/>
        <v>77156.905249999996</v>
      </c>
      <c r="AF10" s="34">
        <f t="shared" si="4"/>
        <v>77156.905249999996</v>
      </c>
      <c r="AG10" s="34">
        <f t="shared" si="4"/>
        <v>77156.905249999996</v>
      </c>
      <c r="AH10" s="34">
        <f t="shared" si="4"/>
        <v>77156.905249999996</v>
      </c>
      <c r="AI10" s="34">
        <f t="shared" si="4"/>
        <v>77156.905249999996</v>
      </c>
      <c r="AJ10" s="34">
        <f t="shared" ref="AJ10:BO10" si="5">SUM(AJ7:AJ9)</f>
        <v>77156.905249999996</v>
      </c>
      <c r="AK10" s="34">
        <f t="shared" si="5"/>
        <v>77156.905249999996</v>
      </c>
      <c r="AL10" s="34">
        <f t="shared" si="5"/>
        <v>77156.905249999996</v>
      </c>
      <c r="AM10" s="34">
        <f t="shared" si="5"/>
        <v>77156.905249999996</v>
      </c>
      <c r="AN10" s="34">
        <f t="shared" si="5"/>
        <v>79364.96027749998</v>
      </c>
      <c r="AO10" s="34">
        <f t="shared" si="5"/>
        <v>79364.96027749998</v>
      </c>
      <c r="AP10" s="34">
        <f t="shared" si="5"/>
        <v>79364.96027749998</v>
      </c>
      <c r="AQ10" s="34">
        <f t="shared" si="5"/>
        <v>79364.96027749998</v>
      </c>
      <c r="AR10" s="34">
        <f t="shared" si="5"/>
        <v>79364.96027749998</v>
      </c>
      <c r="AS10" s="34">
        <f t="shared" si="5"/>
        <v>79364.96027749998</v>
      </c>
      <c r="AT10" s="34">
        <f t="shared" si="5"/>
        <v>79364.96027749998</v>
      </c>
      <c r="AU10" s="34">
        <f t="shared" si="5"/>
        <v>79364.96027749998</v>
      </c>
      <c r="AV10" s="34">
        <f t="shared" si="5"/>
        <v>79364.96027749998</v>
      </c>
      <c r="AW10" s="34">
        <f t="shared" si="5"/>
        <v>79364.96027749998</v>
      </c>
      <c r="AX10" s="34">
        <f t="shared" si="5"/>
        <v>79364.96027749998</v>
      </c>
      <c r="AY10" s="34">
        <f t="shared" si="5"/>
        <v>79364.96027749998</v>
      </c>
      <c r="AZ10" s="34">
        <f t="shared" si="5"/>
        <v>81650.297230962475</v>
      </c>
      <c r="BA10" s="34">
        <f t="shared" si="5"/>
        <v>81650.297230962475</v>
      </c>
      <c r="BB10" s="34">
        <f t="shared" si="5"/>
        <v>81650.297230962475</v>
      </c>
      <c r="BC10" s="34">
        <f t="shared" si="5"/>
        <v>81650.297230962475</v>
      </c>
      <c r="BD10" s="34">
        <f t="shared" si="5"/>
        <v>81650.297230962475</v>
      </c>
      <c r="BE10" s="34">
        <f t="shared" si="5"/>
        <v>81650.297230962475</v>
      </c>
      <c r="BF10" s="34">
        <f t="shared" si="5"/>
        <v>81650.297230962475</v>
      </c>
      <c r="BG10" s="34">
        <f t="shared" si="5"/>
        <v>81650.297230962475</v>
      </c>
      <c r="BH10" s="34">
        <f t="shared" si="5"/>
        <v>81650.297230962475</v>
      </c>
      <c r="BI10" s="34">
        <f t="shared" si="5"/>
        <v>81650.297230962475</v>
      </c>
      <c r="BJ10" s="34">
        <f t="shared" si="5"/>
        <v>81650.297230962475</v>
      </c>
      <c r="BK10" s="34">
        <f t="shared" si="5"/>
        <v>81650.297230962475</v>
      </c>
      <c r="BL10" s="34">
        <f t="shared" si="5"/>
        <v>84015.620977796163</v>
      </c>
    </row>
    <row r="12" spans="2:64" x14ac:dyDescent="0.2">
      <c r="B12" s="4" t="s">
        <v>145</v>
      </c>
    </row>
    <row r="13" spans="2:64" x14ac:dyDescent="0.2">
      <c r="B13" s="16" t="s">
        <v>146</v>
      </c>
      <c r="D13" s="32">
        <f>-Assumptions!$C$38*Assumptions!$C$5</f>
        <v>-14810.125</v>
      </c>
      <c r="E13" s="32">
        <f>-Assumptions!$C$38*Assumptions!$C$5</f>
        <v>-14810.125</v>
      </c>
      <c r="F13" s="32">
        <f>-Assumptions!$C$38*Assumptions!$C$5</f>
        <v>-14810.125</v>
      </c>
      <c r="G13" s="32">
        <f>-Assumptions!$C$38*Assumptions!$C$5</f>
        <v>-14810.125</v>
      </c>
      <c r="H13" s="32">
        <f>-Assumptions!$C$38*Assumptions!$C$5</f>
        <v>-14810.125</v>
      </c>
      <c r="I13" s="32">
        <f>-Assumptions!$C$38*Assumptions!$C$5</f>
        <v>-14810.125</v>
      </c>
      <c r="J13" s="32">
        <f>-Assumptions!$C$38*Assumptions!$C$5</f>
        <v>-14810.125</v>
      </c>
      <c r="K13" s="32">
        <f>-Assumptions!$C$38*Assumptions!$C$5</f>
        <v>-14810.125</v>
      </c>
      <c r="L13" s="32">
        <f>-Assumptions!$C$38*Assumptions!$C$5</f>
        <v>-14810.125</v>
      </c>
      <c r="M13" s="32">
        <f>-Assumptions!$C$38*Assumptions!$C$5</f>
        <v>-14810.125</v>
      </c>
      <c r="N13" s="32">
        <f>-Assumptions!$C$38*Assumptions!$C$5</f>
        <v>-14810.125</v>
      </c>
      <c r="O13" s="32">
        <f>-Assumptions!$C$38*Assumptions!$C$5</f>
        <v>-14810.125</v>
      </c>
      <c r="P13" s="32">
        <f>-Assumptions!$C$38*Assumptions!$C$5</f>
        <v>-14810.125</v>
      </c>
      <c r="Q13" s="32">
        <f>-Assumptions!$C$38*Assumptions!$C$5</f>
        <v>-14810.125</v>
      </c>
      <c r="R13" s="32">
        <f>-Assumptions!$C$38*Assumptions!$C$5</f>
        <v>-14810.125</v>
      </c>
      <c r="S13" s="32">
        <f>-Assumptions!$C$38*Assumptions!$C$5</f>
        <v>-14810.125</v>
      </c>
      <c r="T13" s="32">
        <f>-Assumptions!$C$38*Assumptions!$C$5</f>
        <v>-14810.125</v>
      </c>
      <c r="U13" s="32">
        <f>-Assumptions!$C$38*Assumptions!$C$5</f>
        <v>-14810.125</v>
      </c>
      <c r="V13" s="32">
        <f>-Assumptions!$C$38*Assumptions!$C$5</f>
        <v>-14810.125</v>
      </c>
      <c r="W13" s="32">
        <f>-Assumptions!$C$38*Assumptions!$C$5</f>
        <v>-14810.125</v>
      </c>
      <c r="X13" s="32">
        <f>-Assumptions!$C$38*Assumptions!$C$5</f>
        <v>-14810.125</v>
      </c>
      <c r="Y13" s="32">
        <f>-Assumptions!$C$38*Assumptions!$C$5</f>
        <v>-14810.125</v>
      </c>
      <c r="Z13" s="32">
        <f>-Assumptions!$C$38*Assumptions!$C$5</f>
        <v>-14810.125</v>
      </c>
      <c r="AA13" s="32">
        <f>-Assumptions!$C$38*Assumptions!$C$5</f>
        <v>-14810.125</v>
      </c>
      <c r="AB13" s="32">
        <f>-Assumptions!$C$38*Assumptions!$C$5</f>
        <v>-14810.125</v>
      </c>
      <c r="AC13" s="32">
        <f>-Assumptions!$C$38*Assumptions!$C$5</f>
        <v>-14810.125</v>
      </c>
      <c r="AD13" s="32">
        <f>-Assumptions!$C$38*Assumptions!$C$5</f>
        <v>-14810.125</v>
      </c>
      <c r="AE13" s="32">
        <f>-Assumptions!$C$38*Assumptions!$C$5</f>
        <v>-14810.125</v>
      </c>
      <c r="AF13" s="32">
        <f>-Assumptions!$C$38*Assumptions!$C$5</f>
        <v>-14810.125</v>
      </c>
      <c r="AG13" s="32">
        <f>-Assumptions!$C$38*Assumptions!$C$5</f>
        <v>-14810.125</v>
      </c>
      <c r="AH13" s="32">
        <f>-Assumptions!$C$38*Assumptions!$C$5</f>
        <v>-14810.125</v>
      </c>
      <c r="AI13" s="32">
        <f>-Assumptions!$C$38*Assumptions!$C$5</f>
        <v>-14810.125</v>
      </c>
      <c r="AJ13" s="32">
        <f>-Assumptions!$C$38*Assumptions!$C$5</f>
        <v>-14810.125</v>
      </c>
      <c r="AK13" s="32">
        <f>-Assumptions!$C$38*Assumptions!$C$5</f>
        <v>-14810.125</v>
      </c>
      <c r="AL13" s="32">
        <f>-Assumptions!$C$38*Assumptions!$C$5</f>
        <v>-14810.125</v>
      </c>
      <c r="AM13" s="32">
        <f>-Assumptions!$C$38*Assumptions!$C$5</f>
        <v>-14810.125</v>
      </c>
      <c r="AN13" s="32">
        <f>-Assumptions!$C$38*Assumptions!$C$5</f>
        <v>-14810.125</v>
      </c>
      <c r="AO13" s="32">
        <f>-Assumptions!$C$38*Assumptions!$C$5</f>
        <v>-14810.125</v>
      </c>
      <c r="AP13" s="32">
        <f>-Assumptions!$C$38*Assumptions!$C$5</f>
        <v>-14810.125</v>
      </c>
      <c r="AQ13" s="32">
        <f>-Assumptions!$C$38*Assumptions!$C$5</f>
        <v>-14810.125</v>
      </c>
      <c r="AR13" s="32">
        <f>-Assumptions!$C$38*Assumptions!$C$5</f>
        <v>-14810.125</v>
      </c>
      <c r="AS13" s="32">
        <f>-Assumptions!$C$38*Assumptions!$C$5</f>
        <v>-14810.125</v>
      </c>
      <c r="AT13" s="32">
        <f>-Assumptions!$C$38*Assumptions!$C$5</f>
        <v>-14810.125</v>
      </c>
      <c r="AU13" s="32">
        <f>-Assumptions!$C$38*Assumptions!$C$5</f>
        <v>-14810.125</v>
      </c>
      <c r="AV13" s="32">
        <f>-Assumptions!$C$38*Assumptions!$C$5</f>
        <v>-14810.125</v>
      </c>
      <c r="AW13" s="32">
        <f>-Assumptions!$C$38*Assumptions!$C$5</f>
        <v>-14810.125</v>
      </c>
      <c r="AX13" s="32">
        <f>-Assumptions!$C$38*Assumptions!$C$5</f>
        <v>-14810.125</v>
      </c>
      <c r="AY13" s="32">
        <f>-Assumptions!$C$38*Assumptions!$C$5</f>
        <v>-14810.125</v>
      </c>
      <c r="AZ13" s="32">
        <f>-Assumptions!$C$38*Assumptions!$C$5</f>
        <v>-14810.125</v>
      </c>
      <c r="BA13" s="32">
        <f>-Assumptions!$C$38*Assumptions!$C$5</f>
        <v>-14810.125</v>
      </c>
      <c r="BB13" s="32">
        <f>-Assumptions!$C$38*Assumptions!$C$5</f>
        <v>-14810.125</v>
      </c>
      <c r="BC13" s="32">
        <f>-Assumptions!$C$38*Assumptions!$C$5</f>
        <v>-14810.125</v>
      </c>
      <c r="BD13" s="32">
        <f>-Assumptions!$C$38*Assumptions!$C$5</f>
        <v>-14810.125</v>
      </c>
      <c r="BE13" s="32">
        <f>-Assumptions!$C$38*Assumptions!$C$5</f>
        <v>-14810.125</v>
      </c>
      <c r="BF13" s="32">
        <f>-Assumptions!$C$38*Assumptions!$C$5</f>
        <v>-14810.125</v>
      </c>
      <c r="BG13" s="32">
        <f>-Assumptions!$C$38*Assumptions!$C$5</f>
        <v>-14810.125</v>
      </c>
      <c r="BH13" s="32">
        <f>-Assumptions!$C$38*Assumptions!$C$5</f>
        <v>-14810.125</v>
      </c>
      <c r="BI13" s="32">
        <f>-Assumptions!$C$38*Assumptions!$C$5</f>
        <v>-14810.125</v>
      </c>
      <c r="BJ13" s="32">
        <f>-Assumptions!$C$38*Assumptions!$C$5</f>
        <v>-14810.125</v>
      </c>
      <c r="BK13" s="32">
        <f>-Assumptions!$C$38*Assumptions!$C$5</f>
        <v>-14810.125</v>
      </c>
      <c r="BL13" s="32">
        <f>-Assumptions!$C$38*Assumptions!$C$5</f>
        <v>-14810.125</v>
      </c>
    </row>
    <row r="14" spans="2:64" x14ac:dyDescent="0.2">
      <c r="B14" s="16" t="s">
        <v>147</v>
      </c>
      <c r="D14" s="32">
        <f>-D7*Assumptions!$C$39</f>
        <v>0</v>
      </c>
      <c r="E14" s="32">
        <f>-E7*Assumptions!$C$39</f>
        <v>0</v>
      </c>
      <c r="F14" s="32">
        <f>-F7*Assumptions!$C$39</f>
        <v>0</v>
      </c>
      <c r="G14" s="32">
        <f>-G7*Assumptions!$C$39</f>
        <v>0</v>
      </c>
      <c r="H14" s="32">
        <f>-H7*Assumptions!$C$39</f>
        <v>0</v>
      </c>
      <c r="I14" s="32">
        <f>-I7*Assumptions!$C$39</f>
        <v>0</v>
      </c>
      <c r="J14" s="32">
        <f>-J7*Assumptions!$C$39</f>
        <v>0</v>
      </c>
      <c r="K14" s="32">
        <f>-K7*Assumptions!$C$39</f>
        <v>0</v>
      </c>
      <c r="L14" s="32">
        <f>-L7*Assumptions!$C$39</f>
        <v>0</v>
      </c>
      <c r="M14" s="32">
        <f>-M7*Assumptions!$C$39</f>
        <v>0</v>
      </c>
      <c r="N14" s="32">
        <f>-N7*Assumptions!$C$39</f>
        <v>0</v>
      </c>
      <c r="O14" s="32">
        <f>-O7*Assumptions!$C$39</f>
        <v>0</v>
      </c>
      <c r="P14" s="32">
        <f>-P7*Assumptions!$C$39</f>
        <v>0</v>
      </c>
      <c r="Q14" s="32">
        <f>-Q7*Assumptions!$C$39</f>
        <v>0</v>
      </c>
      <c r="R14" s="32">
        <f>-R7*Assumptions!$C$39</f>
        <v>0</v>
      </c>
      <c r="S14" s="32">
        <f>-S7*Assumptions!$C$39</f>
        <v>-1924.86</v>
      </c>
      <c r="T14" s="32">
        <f>-T7*Assumptions!$C$39</f>
        <v>-1924.86</v>
      </c>
      <c r="U14" s="32">
        <f>-U7*Assumptions!$C$39</f>
        <v>-1924.86</v>
      </c>
      <c r="V14" s="32">
        <f>-V7*Assumptions!$C$39</f>
        <v>-1924.86</v>
      </c>
      <c r="W14" s="32">
        <f>-W7*Assumptions!$C$39</f>
        <v>-1924.86</v>
      </c>
      <c r="X14" s="32">
        <f>-X7*Assumptions!$C$39</f>
        <v>-1924.86</v>
      </c>
      <c r="Y14" s="32">
        <f>-Y7*Assumptions!$C$39</f>
        <v>-1924.86</v>
      </c>
      <c r="Z14" s="32">
        <f>-Z7*Assumptions!$C$39</f>
        <v>-1924.86</v>
      </c>
      <c r="AA14" s="32">
        <f>-AA7*Assumptions!$C$39</f>
        <v>-1924.86</v>
      </c>
      <c r="AB14" s="32">
        <f>-AB7*Assumptions!$C$39</f>
        <v>-1992.2300999999998</v>
      </c>
      <c r="AC14" s="32">
        <f>-AC7*Assumptions!$C$39</f>
        <v>-1992.2300999999998</v>
      </c>
      <c r="AD14" s="32">
        <f>-AD7*Assumptions!$C$39</f>
        <v>-1992.2300999999998</v>
      </c>
      <c r="AE14" s="32">
        <f>-AE7*Assumptions!$C$39</f>
        <v>-1992.2300999999998</v>
      </c>
      <c r="AF14" s="32">
        <f>-AF7*Assumptions!$C$39</f>
        <v>-1992.2300999999998</v>
      </c>
      <c r="AG14" s="32">
        <f>-AG7*Assumptions!$C$39</f>
        <v>-1992.2300999999998</v>
      </c>
      <c r="AH14" s="32">
        <f>-AH7*Assumptions!$C$39</f>
        <v>-1992.2300999999998</v>
      </c>
      <c r="AI14" s="32">
        <f>-AI7*Assumptions!$C$39</f>
        <v>-1992.2300999999998</v>
      </c>
      <c r="AJ14" s="32">
        <f>-AJ7*Assumptions!$C$39</f>
        <v>-1992.2300999999998</v>
      </c>
      <c r="AK14" s="32">
        <f>-AK7*Assumptions!$C$39</f>
        <v>-1992.2300999999998</v>
      </c>
      <c r="AL14" s="32">
        <f>-AL7*Assumptions!$C$39</f>
        <v>-1992.2300999999998</v>
      </c>
      <c r="AM14" s="32">
        <f>-AM7*Assumptions!$C$39</f>
        <v>-1992.2300999999998</v>
      </c>
      <c r="AN14" s="32">
        <f>-AN7*Assumptions!$C$39</f>
        <v>-2061.9581534999998</v>
      </c>
      <c r="AO14" s="32">
        <f>-AO7*Assumptions!$C$39</f>
        <v>-2061.9581534999998</v>
      </c>
      <c r="AP14" s="32">
        <f>-AP7*Assumptions!$C$39</f>
        <v>-2061.9581534999998</v>
      </c>
      <c r="AQ14" s="32">
        <f>-AQ7*Assumptions!$C$39</f>
        <v>-2061.9581534999998</v>
      </c>
      <c r="AR14" s="32">
        <f>-AR7*Assumptions!$C$39</f>
        <v>-2061.9581534999998</v>
      </c>
      <c r="AS14" s="32">
        <f>-AS7*Assumptions!$C$39</f>
        <v>-2061.9581534999998</v>
      </c>
      <c r="AT14" s="32">
        <f>-AT7*Assumptions!$C$39</f>
        <v>-2061.9581534999998</v>
      </c>
      <c r="AU14" s="32">
        <f>-AU7*Assumptions!$C$39</f>
        <v>-2061.9581534999998</v>
      </c>
      <c r="AV14" s="32">
        <f>-AV7*Assumptions!$C$39</f>
        <v>-2061.9581534999998</v>
      </c>
      <c r="AW14" s="32">
        <f>-AW7*Assumptions!$C$39</f>
        <v>-2061.9581534999998</v>
      </c>
      <c r="AX14" s="32">
        <f>-AX7*Assumptions!$C$39</f>
        <v>-2061.9581534999998</v>
      </c>
      <c r="AY14" s="32">
        <f>-AY7*Assumptions!$C$39</f>
        <v>-2061.9581534999998</v>
      </c>
      <c r="AZ14" s="32">
        <f>-AZ7*Assumptions!$C$39</f>
        <v>-2134.1266888724995</v>
      </c>
      <c r="BA14" s="32">
        <f>-BA7*Assumptions!$C$39</f>
        <v>-2134.1266888724995</v>
      </c>
      <c r="BB14" s="32">
        <f>-BB7*Assumptions!$C$39</f>
        <v>-2134.1266888724995</v>
      </c>
      <c r="BC14" s="32">
        <f>-BC7*Assumptions!$C$39</f>
        <v>-2134.1266888724995</v>
      </c>
      <c r="BD14" s="32">
        <f>-BD7*Assumptions!$C$39</f>
        <v>-2134.1266888724995</v>
      </c>
      <c r="BE14" s="32">
        <f>-BE7*Assumptions!$C$39</f>
        <v>-2134.1266888724995</v>
      </c>
      <c r="BF14" s="32">
        <f>-BF7*Assumptions!$C$39</f>
        <v>-2134.1266888724995</v>
      </c>
      <c r="BG14" s="32">
        <f>-BG7*Assumptions!$C$39</f>
        <v>-2134.1266888724995</v>
      </c>
      <c r="BH14" s="32">
        <f>-BH7*Assumptions!$C$39</f>
        <v>-2134.1266888724995</v>
      </c>
      <c r="BI14" s="32">
        <f>-BI7*Assumptions!$C$39</f>
        <v>-2134.1266888724995</v>
      </c>
      <c r="BJ14" s="32">
        <f>-BJ7*Assumptions!$C$39</f>
        <v>-2134.1266888724995</v>
      </c>
      <c r="BK14" s="32">
        <f>-BK7*Assumptions!$C$39</f>
        <v>-2134.1266888724995</v>
      </c>
      <c r="BL14" s="32">
        <f>-BL7*Assumptions!$C$39</f>
        <v>-2208.8211229830367</v>
      </c>
    </row>
    <row r="15" spans="2:64" x14ac:dyDescent="0.2">
      <c r="B15" s="4" t="s">
        <v>148</v>
      </c>
      <c r="C15" s="33"/>
      <c r="D15" s="34">
        <f t="shared" ref="D15:AI15" si="6">D13+D14</f>
        <v>-14810.125</v>
      </c>
      <c r="E15" s="34">
        <f t="shared" si="6"/>
        <v>-14810.125</v>
      </c>
      <c r="F15" s="34">
        <f t="shared" si="6"/>
        <v>-14810.125</v>
      </c>
      <c r="G15" s="34">
        <f t="shared" si="6"/>
        <v>-14810.125</v>
      </c>
      <c r="H15" s="34">
        <f t="shared" si="6"/>
        <v>-14810.125</v>
      </c>
      <c r="I15" s="34">
        <f t="shared" si="6"/>
        <v>-14810.125</v>
      </c>
      <c r="J15" s="34">
        <f t="shared" si="6"/>
        <v>-14810.125</v>
      </c>
      <c r="K15" s="34">
        <f t="shared" si="6"/>
        <v>-14810.125</v>
      </c>
      <c r="L15" s="34">
        <f t="shared" si="6"/>
        <v>-14810.125</v>
      </c>
      <c r="M15" s="34">
        <f t="shared" si="6"/>
        <v>-14810.125</v>
      </c>
      <c r="N15" s="34">
        <f t="shared" si="6"/>
        <v>-14810.125</v>
      </c>
      <c r="O15" s="34">
        <f t="shared" si="6"/>
        <v>-14810.125</v>
      </c>
      <c r="P15" s="34">
        <f t="shared" si="6"/>
        <v>-14810.125</v>
      </c>
      <c r="Q15" s="34">
        <f t="shared" si="6"/>
        <v>-14810.125</v>
      </c>
      <c r="R15" s="34">
        <f t="shared" si="6"/>
        <v>-14810.125</v>
      </c>
      <c r="S15" s="34">
        <f t="shared" si="6"/>
        <v>-16734.985000000001</v>
      </c>
      <c r="T15" s="34">
        <f t="shared" si="6"/>
        <v>-16734.985000000001</v>
      </c>
      <c r="U15" s="34">
        <f t="shared" si="6"/>
        <v>-16734.985000000001</v>
      </c>
      <c r="V15" s="34">
        <f t="shared" si="6"/>
        <v>-16734.985000000001</v>
      </c>
      <c r="W15" s="34">
        <f t="shared" si="6"/>
        <v>-16734.985000000001</v>
      </c>
      <c r="X15" s="34">
        <f t="shared" si="6"/>
        <v>-16734.985000000001</v>
      </c>
      <c r="Y15" s="34">
        <f t="shared" si="6"/>
        <v>-16734.985000000001</v>
      </c>
      <c r="Z15" s="34">
        <f t="shared" si="6"/>
        <v>-16734.985000000001</v>
      </c>
      <c r="AA15" s="34">
        <f t="shared" si="6"/>
        <v>-16734.985000000001</v>
      </c>
      <c r="AB15" s="34">
        <f t="shared" si="6"/>
        <v>-16802.355100000001</v>
      </c>
      <c r="AC15" s="34">
        <f t="shared" si="6"/>
        <v>-16802.355100000001</v>
      </c>
      <c r="AD15" s="34">
        <f t="shared" si="6"/>
        <v>-16802.355100000001</v>
      </c>
      <c r="AE15" s="34">
        <f t="shared" si="6"/>
        <v>-16802.355100000001</v>
      </c>
      <c r="AF15" s="34">
        <f t="shared" si="6"/>
        <v>-16802.355100000001</v>
      </c>
      <c r="AG15" s="34">
        <f t="shared" si="6"/>
        <v>-16802.355100000001</v>
      </c>
      <c r="AH15" s="34">
        <f t="shared" si="6"/>
        <v>-16802.355100000001</v>
      </c>
      <c r="AI15" s="34">
        <f t="shared" si="6"/>
        <v>-16802.355100000001</v>
      </c>
      <c r="AJ15" s="34">
        <f t="shared" ref="AJ15:BO15" si="7">AJ13+AJ14</f>
        <v>-16802.355100000001</v>
      </c>
      <c r="AK15" s="34">
        <f t="shared" si="7"/>
        <v>-16802.355100000001</v>
      </c>
      <c r="AL15" s="34">
        <f t="shared" si="7"/>
        <v>-16802.355100000001</v>
      </c>
      <c r="AM15" s="34">
        <f t="shared" si="7"/>
        <v>-16802.355100000001</v>
      </c>
      <c r="AN15" s="34">
        <f t="shared" si="7"/>
        <v>-16872.0831535</v>
      </c>
      <c r="AO15" s="34">
        <f t="shared" si="7"/>
        <v>-16872.0831535</v>
      </c>
      <c r="AP15" s="34">
        <f t="shared" si="7"/>
        <v>-16872.0831535</v>
      </c>
      <c r="AQ15" s="34">
        <f t="shared" si="7"/>
        <v>-16872.0831535</v>
      </c>
      <c r="AR15" s="34">
        <f t="shared" si="7"/>
        <v>-16872.0831535</v>
      </c>
      <c r="AS15" s="34">
        <f t="shared" si="7"/>
        <v>-16872.0831535</v>
      </c>
      <c r="AT15" s="34">
        <f t="shared" si="7"/>
        <v>-16872.0831535</v>
      </c>
      <c r="AU15" s="34">
        <f t="shared" si="7"/>
        <v>-16872.0831535</v>
      </c>
      <c r="AV15" s="34">
        <f t="shared" si="7"/>
        <v>-16872.0831535</v>
      </c>
      <c r="AW15" s="34">
        <f t="shared" si="7"/>
        <v>-16872.0831535</v>
      </c>
      <c r="AX15" s="34">
        <f t="shared" si="7"/>
        <v>-16872.0831535</v>
      </c>
      <c r="AY15" s="34">
        <f t="shared" si="7"/>
        <v>-16872.0831535</v>
      </c>
      <c r="AZ15" s="34">
        <f t="shared" si="7"/>
        <v>-16944.2516888725</v>
      </c>
      <c r="BA15" s="34">
        <f t="shared" si="7"/>
        <v>-16944.2516888725</v>
      </c>
      <c r="BB15" s="34">
        <f t="shared" si="7"/>
        <v>-16944.2516888725</v>
      </c>
      <c r="BC15" s="34">
        <f t="shared" si="7"/>
        <v>-16944.2516888725</v>
      </c>
      <c r="BD15" s="34">
        <f t="shared" si="7"/>
        <v>-16944.2516888725</v>
      </c>
      <c r="BE15" s="34">
        <f t="shared" si="7"/>
        <v>-16944.2516888725</v>
      </c>
      <c r="BF15" s="34">
        <f t="shared" si="7"/>
        <v>-16944.2516888725</v>
      </c>
      <c r="BG15" s="34">
        <f t="shared" si="7"/>
        <v>-16944.2516888725</v>
      </c>
      <c r="BH15" s="34">
        <f t="shared" si="7"/>
        <v>-16944.2516888725</v>
      </c>
      <c r="BI15" s="34">
        <f t="shared" si="7"/>
        <v>-16944.2516888725</v>
      </c>
      <c r="BJ15" s="34">
        <f t="shared" si="7"/>
        <v>-16944.2516888725</v>
      </c>
      <c r="BK15" s="34">
        <f t="shared" si="7"/>
        <v>-16944.2516888725</v>
      </c>
      <c r="BL15" s="34">
        <f t="shared" si="7"/>
        <v>-17018.946122983038</v>
      </c>
    </row>
    <row r="17" spans="2:64" x14ac:dyDescent="0.2">
      <c r="B17" s="4" t="s">
        <v>149</v>
      </c>
      <c r="C17" s="33"/>
      <c r="D17" s="34">
        <f t="shared" ref="D17:AI17" si="8">D10+D15</f>
        <v>-14810.125</v>
      </c>
      <c r="E17" s="34">
        <f t="shared" si="8"/>
        <v>-14810.125</v>
      </c>
      <c r="F17" s="34">
        <f t="shared" si="8"/>
        <v>-14810.125</v>
      </c>
      <c r="G17" s="34">
        <f t="shared" si="8"/>
        <v>-14810.125</v>
      </c>
      <c r="H17" s="34">
        <f t="shared" si="8"/>
        <v>-14810.125</v>
      </c>
      <c r="I17" s="34">
        <f t="shared" si="8"/>
        <v>-14810.125</v>
      </c>
      <c r="J17" s="34">
        <f t="shared" si="8"/>
        <v>-14810.125</v>
      </c>
      <c r="K17" s="34">
        <f t="shared" si="8"/>
        <v>-14810.125</v>
      </c>
      <c r="L17" s="34">
        <f t="shared" si="8"/>
        <v>-14810.125</v>
      </c>
      <c r="M17" s="34">
        <f t="shared" si="8"/>
        <v>-14810.125</v>
      </c>
      <c r="N17" s="34">
        <f t="shared" si="8"/>
        <v>-14810.125</v>
      </c>
      <c r="O17" s="34">
        <f t="shared" si="8"/>
        <v>-14810.125</v>
      </c>
      <c r="P17" s="34">
        <f t="shared" si="8"/>
        <v>-740.50625000000036</v>
      </c>
      <c r="Q17" s="34">
        <f t="shared" si="8"/>
        <v>-740.50625000000036</v>
      </c>
      <c r="R17" s="34">
        <f t="shared" si="8"/>
        <v>-740.50625000000036</v>
      </c>
      <c r="S17" s="34">
        <f t="shared" si="8"/>
        <v>58288.533750000002</v>
      </c>
      <c r="T17" s="34">
        <f t="shared" si="8"/>
        <v>58288.533750000002</v>
      </c>
      <c r="U17" s="34">
        <f t="shared" si="8"/>
        <v>58288.533750000002</v>
      </c>
      <c r="V17" s="34">
        <f t="shared" si="8"/>
        <v>58288.533750000002</v>
      </c>
      <c r="W17" s="34">
        <f t="shared" si="8"/>
        <v>58288.533750000002</v>
      </c>
      <c r="X17" s="34">
        <f t="shared" si="8"/>
        <v>58288.533750000002</v>
      </c>
      <c r="Y17" s="34">
        <f t="shared" si="8"/>
        <v>58288.533750000002</v>
      </c>
      <c r="Z17" s="34">
        <f t="shared" si="8"/>
        <v>58288.533750000002</v>
      </c>
      <c r="AA17" s="34">
        <f t="shared" si="8"/>
        <v>58288.533750000002</v>
      </c>
      <c r="AB17" s="34">
        <f t="shared" si="8"/>
        <v>60354.550149999995</v>
      </c>
      <c r="AC17" s="34">
        <f t="shared" si="8"/>
        <v>60354.550149999995</v>
      </c>
      <c r="AD17" s="34">
        <f t="shared" si="8"/>
        <v>60354.550149999995</v>
      </c>
      <c r="AE17" s="34">
        <f t="shared" si="8"/>
        <v>60354.550149999995</v>
      </c>
      <c r="AF17" s="34">
        <f t="shared" si="8"/>
        <v>60354.550149999995</v>
      </c>
      <c r="AG17" s="34">
        <f t="shared" si="8"/>
        <v>60354.550149999995</v>
      </c>
      <c r="AH17" s="34">
        <f t="shared" si="8"/>
        <v>60354.550149999995</v>
      </c>
      <c r="AI17" s="34">
        <f t="shared" si="8"/>
        <v>60354.550149999995</v>
      </c>
      <c r="AJ17" s="34">
        <f t="shared" ref="AJ17:BL17" si="9">AJ10+AJ15</f>
        <v>60354.550149999995</v>
      </c>
      <c r="AK17" s="34">
        <f t="shared" si="9"/>
        <v>60354.550149999995</v>
      </c>
      <c r="AL17" s="34">
        <f t="shared" si="9"/>
        <v>60354.550149999995</v>
      </c>
      <c r="AM17" s="34">
        <f t="shared" si="9"/>
        <v>60354.550149999995</v>
      </c>
      <c r="AN17" s="34">
        <f t="shared" si="9"/>
        <v>62492.877123999977</v>
      </c>
      <c r="AO17" s="34">
        <f t="shared" si="9"/>
        <v>62492.877123999977</v>
      </c>
      <c r="AP17" s="34">
        <f t="shared" si="9"/>
        <v>62492.877123999977</v>
      </c>
      <c r="AQ17" s="34">
        <f t="shared" si="9"/>
        <v>62492.877123999977</v>
      </c>
      <c r="AR17" s="34">
        <f t="shared" si="9"/>
        <v>62492.877123999977</v>
      </c>
      <c r="AS17" s="34">
        <f t="shared" si="9"/>
        <v>62492.877123999977</v>
      </c>
      <c r="AT17" s="34">
        <f t="shared" si="9"/>
        <v>62492.877123999977</v>
      </c>
      <c r="AU17" s="34">
        <f t="shared" si="9"/>
        <v>62492.877123999977</v>
      </c>
      <c r="AV17" s="34">
        <f t="shared" si="9"/>
        <v>62492.877123999977</v>
      </c>
      <c r="AW17" s="34">
        <f t="shared" si="9"/>
        <v>62492.877123999977</v>
      </c>
      <c r="AX17" s="34">
        <f t="shared" si="9"/>
        <v>62492.877123999977</v>
      </c>
      <c r="AY17" s="34">
        <f t="shared" si="9"/>
        <v>62492.877123999977</v>
      </c>
      <c r="AZ17" s="34">
        <f t="shared" si="9"/>
        <v>64706.045542089974</v>
      </c>
      <c r="BA17" s="34">
        <f t="shared" si="9"/>
        <v>64706.045542089974</v>
      </c>
      <c r="BB17" s="34">
        <f t="shared" si="9"/>
        <v>64706.045542089974</v>
      </c>
      <c r="BC17" s="34">
        <f t="shared" si="9"/>
        <v>64706.045542089974</v>
      </c>
      <c r="BD17" s="34">
        <f t="shared" si="9"/>
        <v>64706.045542089974</v>
      </c>
      <c r="BE17" s="34">
        <f t="shared" si="9"/>
        <v>64706.045542089974</v>
      </c>
      <c r="BF17" s="34">
        <f t="shared" si="9"/>
        <v>64706.045542089974</v>
      </c>
      <c r="BG17" s="34">
        <f t="shared" si="9"/>
        <v>64706.045542089974</v>
      </c>
      <c r="BH17" s="34">
        <f t="shared" si="9"/>
        <v>64706.045542089974</v>
      </c>
      <c r="BI17" s="34">
        <f t="shared" si="9"/>
        <v>64706.045542089974</v>
      </c>
      <c r="BJ17" s="34">
        <f t="shared" si="9"/>
        <v>64706.045542089974</v>
      </c>
      <c r="BK17" s="34">
        <f t="shared" si="9"/>
        <v>64706.045542089974</v>
      </c>
      <c r="BL17" s="34">
        <f t="shared" si="9"/>
        <v>66996.674854813129</v>
      </c>
    </row>
    <row r="19" spans="2:64" x14ac:dyDescent="0.2">
      <c r="B19" s="4" t="s">
        <v>150</v>
      </c>
    </row>
    <row r="20" spans="2:64" x14ac:dyDescent="0.2">
      <c r="B20" s="16" t="s">
        <v>151</v>
      </c>
      <c r="D20" s="32">
        <f>IF(D$2&lt;=Assumptions!$C$20,-Assumptions!$C$19/Assumptions!$C$20,0)</f>
        <v>-294075.83333333331</v>
      </c>
      <c r="E20" s="32">
        <f>IF(E$2&lt;=Assumptions!$C$20,-Assumptions!$C$19/Assumptions!$C$20,0)</f>
        <v>-294075.83333333331</v>
      </c>
      <c r="F20" s="32">
        <f>IF(F$2&lt;=Assumptions!$C$20,-Assumptions!$C$19/Assumptions!$C$20,0)</f>
        <v>-294075.83333333331</v>
      </c>
      <c r="G20" s="32">
        <f>IF(G$2&lt;=Assumptions!$C$20,-Assumptions!$C$19/Assumptions!$C$20,0)</f>
        <v>-294075.83333333331</v>
      </c>
      <c r="H20" s="32">
        <f>IF(H$2&lt;=Assumptions!$C$20,-Assumptions!$C$19/Assumptions!$C$20,0)</f>
        <v>-294075.83333333331</v>
      </c>
      <c r="I20" s="32">
        <f>IF(I$2&lt;=Assumptions!$C$20,-Assumptions!$C$19/Assumptions!$C$20,0)</f>
        <v>-294075.83333333331</v>
      </c>
      <c r="J20" s="32">
        <f>IF(J$2&lt;=Assumptions!$C$20,-Assumptions!$C$19/Assumptions!$C$20,0)</f>
        <v>0</v>
      </c>
      <c r="K20" s="32">
        <f>IF(K$2&lt;=Assumptions!$C$20,-Assumptions!$C$19/Assumptions!$C$20,0)</f>
        <v>0</v>
      </c>
      <c r="L20" s="32">
        <f>IF(L$2&lt;=Assumptions!$C$20,-Assumptions!$C$19/Assumptions!$C$20,0)</f>
        <v>0</v>
      </c>
      <c r="M20" s="32">
        <f>IF(M$2&lt;=Assumptions!$C$20,-Assumptions!$C$19/Assumptions!$C$20,0)</f>
        <v>0</v>
      </c>
      <c r="N20" s="32">
        <f>IF(N$2&lt;=Assumptions!$C$20,-Assumptions!$C$19/Assumptions!$C$20,0)</f>
        <v>0</v>
      </c>
      <c r="O20" s="32">
        <f>IF(O$2&lt;=Assumptions!$C$20,-Assumptions!$C$19/Assumptions!$C$20,0)</f>
        <v>0</v>
      </c>
      <c r="P20" s="32">
        <f>IF(P$2&lt;=Assumptions!$C$20,-Assumptions!$C$19/Assumptions!$C$20,0)</f>
        <v>0</v>
      </c>
      <c r="Q20" s="32">
        <f>IF(Q$2&lt;=Assumptions!$C$20,-Assumptions!$C$19/Assumptions!$C$20,0)</f>
        <v>0</v>
      </c>
      <c r="R20" s="32">
        <f>IF(R$2&lt;=Assumptions!$C$20,-Assumptions!$C$19/Assumptions!$C$20,0)</f>
        <v>0</v>
      </c>
      <c r="S20" s="32">
        <f>IF(S$2&lt;=Assumptions!$C$20,-Assumptions!$C$19/Assumptions!$C$20,0)</f>
        <v>0</v>
      </c>
      <c r="T20" s="32">
        <f>IF(T$2&lt;=Assumptions!$C$20,-Assumptions!$C$19/Assumptions!$C$20,0)</f>
        <v>0</v>
      </c>
      <c r="U20" s="32">
        <f>IF(U$2&lt;=Assumptions!$C$20,-Assumptions!$C$19/Assumptions!$C$20,0)</f>
        <v>0</v>
      </c>
      <c r="V20" s="32">
        <f>IF(V$2&lt;=Assumptions!$C$20,-Assumptions!$C$19/Assumptions!$C$20,0)</f>
        <v>0</v>
      </c>
      <c r="W20" s="32">
        <f>IF(W$2&lt;=Assumptions!$C$20,-Assumptions!$C$19/Assumptions!$C$20,0)</f>
        <v>0</v>
      </c>
      <c r="X20" s="32">
        <f>IF(X$2&lt;=Assumptions!$C$20,-Assumptions!$C$19/Assumptions!$C$20,0)</f>
        <v>0</v>
      </c>
      <c r="Y20" s="32">
        <f>IF(Y$2&lt;=Assumptions!$C$20,-Assumptions!$C$19/Assumptions!$C$20,0)</f>
        <v>0</v>
      </c>
      <c r="Z20" s="32">
        <f>IF(Z$2&lt;=Assumptions!$C$20,-Assumptions!$C$19/Assumptions!$C$20,0)</f>
        <v>0</v>
      </c>
      <c r="AA20" s="32">
        <f>IF(AA$2&lt;=Assumptions!$C$20,-Assumptions!$C$19/Assumptions!$C$20,0)</f>
        <v>0</v>
      </c>
      <c r="AB20" s="32">
        <f>IF(AB$2&lt;=Assumptions!$C$20,-Assumptions!$C$19/Assumptions!$C$20,0)</f>
        <v>0</v>
      </c>
      <c r="AC20" s="32">
        <f>IF(AC$2&lt;=Assumptions!$C$20,-Assumptions!$C$19/Assumptions!$C$20,0)</f>
        <v>0</v>
      </c>
      <c r="AD20" s="32">
        <f>IF(AD$2&lt;=Assumptions!$C$20,-Assumptions!$C$19/Assumptions!$C$20,0)</f>
        <v>0</v>
      </c>
      <c r="AE20" s="32">
        <f>IF(AE$2&lt;=Assumptions!$C$20,-Assumptions!$C$19/Assumptions!$C$20,0)</f>
        <v>0</v>
      </c>
      <c r="AF20" s="32">
        <f>IF(AF$2&lt;=Assumptions!$C$20,-Assumptions!$C$19/Assumptions!$C$20,0)</f>
        <v>0</v>
      </c>
      <c r="AG20" s="32">
        <f>IF(AG$2&lt;=Assumptions!$C$20,-Assumptions!$C$19/Assumptions!$C$20,0)</f>
        <v>0</v>
      </c>
      <c r="AH20" s="32">
        <f>IF(AH$2&lt;=Assumptions!$C$20,-Assumptions!$C$19/Assumptions!$C$20,0)</f>
        <v>0</v>
      </c>
      <c r="AI20" s="32">
        <f>IF(AI$2&lt;=Assumptions!$C$20,-Assumptions!$C$19/Assumptions!$C$20,0)</f>
        <v>0</v>
      </c>
      <c r="AJ20" s="32">
        <f>IF(AJ$2&lt;=Assumptions!$C$20,-Assumptions!$C$19/Assumptions!$C$20,0)</f>
        <v>0</v>
      </c>
      <c r="AK20" s="32">
        <f>IF(AK$2&lt;=Assumptions!$C$20,-Assumptions!$C$19/Assumptions!$C$20,0)</f>
        <v>0</v>
      </c>
      <c r="AL20" s="32">
        <f>IF(AL$2&lt;=Assumptions!$C$20,-Assumptions!$C$19/Assumptions!$C$20,0)</f>
        <v>0</v>
      </c>
      <c r="AM20" s="32">
        <f>IF(AM$2&lt;=Assumptions!$C$20,-Assumptions!$C$19/Assumptions!$C$20,0)</f>
        <v>0</v>
      </c>
      <c r="AN20" s="32">
        <f>IF(AN$2&lt;=Assumptions!$C$20,-Assumptions!$C$19/Assumptions!$C$20,0)</f>
        <v>0</v>
      </c>
      <c r="AO20" s="32">
        <f>IF(AO$2&lt;=Assumptions!$C$20,-Assumptions!$C$19/Assumptions!$C$20,0)</f>
        <v>0</v>
      </c>
      <c r="AP20" s="32">
        <f>IF(AP$2&lt;=Assumptions!$C$20,-Assumptions!$C$19/Assumptions!$C$20,0)</f>
        <v>0</v>
      </c>
      <c r="AQ20" s="32">
        <f>IF(AQ$2&lt;=Assumptions!$C$20,-Assumptions!$C$19/Assumptions!$C$20,0)</f>
        <v>0</v>
      </c>
      <c r="AR20" s="32">
        <f>IF(AR$2&lt;=Assumptions!$C$20,-Assumptions!$C$19/Assumptions!$C$20,0)</f>
        <v>0</v>
      </c>
      <c r="AS20" s="32">
        <f>IF(AS$2&lt;=Assumptions!$C$20,-Assumptions!$C$19/Assumptions!$C$20,0)</f>
        <v>0</v>
      </c>
      <c r="AT20" s="32">
        <f>IF(AT$2&lt;=Assumptions!$C$20,-Assumptions!$C$19/Assumptions!$C$20,0)</f>
        <v>0</v>
      </c>
      <c r="AU20" s="32">
        <f>IF(AU$2&lt;=Assumptions!$C$20,-Assumptions!$C$19/Assumptions!$C$20,0)</f>
        <v>0</v>
      </c>
      <c r="AV20" s="32">
        <f>IF(AV$2&lt;=Assumptions!$C$20,-Assumptions!$C$19/Assumptions!$C$20,0)</f>
        <v>0</v>
      </c>
      <c r="AW20" s="32">
        <f>IF(AW$2&lt;=Assumptions!$C$20,-Assumptions!$C$19/Assumptions!$C$20,0)</f>
        <v>0</v>
      </c>
      <c r="AX20" s="32">
        <f>IF(AX$2&lt;=Assumptions!$C$20,-Assumptions!$C$19/Assumptions!$C$20,0)</f>
        <v>0</v>
      </c>
      <c r="AY20" s="32">
        <f>IF(AY$2&lt;=Assumptions!$C$20,-Assumptions!$C$19/Assumptions!$C$20,0)</f>
        <v>0</v>
      </c>
      <c r="AZ20" s="32">
        <f>IF(AZ$2&lt;=Assumptions!$C$20,-Assumptions!$C$19/Assumptions!$C$20,0)</f>
        <v>0</v>
      </c>
      <c r="BA20" s="32">
        <f>IF(BA$2&lt;=Assumptions!$C$20,-Assumptions!$C$19/Assumptions!$C$20,0)</f>
        <v>0</v>
      </c>
      <c r="BB20" s="32">
        <f>IF(BB$2&lt;=Assumptions!$C$20,-Assumptions!$C$19/Assumptions!$C$20,0)</f>
        <v>0</v>
      </c>
      <c r="BC20" s="32">
        <f>IF(BC$2&lt;=Assumptions!$C$20,-Assumptions!$C$19/Assumptions!$C$20,0)</f>
        <v>0</v>
      </c>
      <c r="BD20" s="32">
        <f>IF(BD$2&lt;=Assumptions!$C$20,-Assumptions!$C$19/Assumptions!$C$20,0)</f>
        <v>0</v>
      </c>
      <c r="BE20" s="32">
        <f>IF(BE$2&lt;=Assumptions!$C$20,-Assumptions!$C$19/Assumptions!$C$20,0)</f>
        <v>0</v>
      </c>
      <c r="BF20" s="32">
        <f>IF(BF$2&lt;=Assumptions!$C$20,-Assumptions!$C$19/Assumptions!$C$20,0)</f>
        <v>0</v>
      </c>
      <c r="BG20" s="32">
        <f>IF(BG$2&lt;=Assumptions!$C$20,-Assumptions!$C$19/Assumptions!$C$20,0)</f>
        <v>0</v>
      </c>
      <c r="BH20" s="32">
        <f>IF(BH$2&lt;=Assumptions!$C$20,-Assumptions!$C$19/Assumptions!$C$20,0)</f>
        <v>0</v>
      </c>
      <c r="BI20" s="32">
        <f>IF(BI$2&lt;=Assumptions!$C$20,-Assumptions!$C$19/Assumptions!$C$20,0)</f>
        <v>0</v>
      </c>
      <c r="BJ20" s="32">
        <f>IF(BJ$2&lt;=Assumptions!$C$20,-Assumptions!$C$19/Assumptions!$C$20,0)</f>
        <v>0</v>
      </c>
      <c r="BK20" s="32">
        <f>IF(BK$2&lt;=Assumptions!$C$20,-Assumptions!$C$19/Assumptions!$C$20,0)</f>
        <v>0</v>
      </c>
    </row>
    <row r="21" spans="2:64" x14ac:dyDescent="0.2">
      <c r="B21" s="16" t="s">
        <v>152</v>
      </c>
      <c r="D21" s="32">
        <f>IF(D$2=Assumptions!$C$30,-Assumptions!$C$28*Assumptions!$C$5,0)</f>
        <v>0</v>
      </c>
      <c r="E21" s="32">
        <f>IF(E$2=Assumptions!$C$30,-Assumptions!$C$28*Assumptions!$C$5,0)</f>
        <v>0</v>
      </c>
      <c r="F21" s="32">
        <f>IF(F$2=Assumptions!$C$30,-Assumptions!$C$28*Assumptions!$C$5,0)</f>
        <v>0</v>
      </c>
      <c r="G21" s="32">
        <f>IF(G$2=Assumptions!$C$30,-Assumptions!$C$28*Assumptions!$C$5,0)</f>
        <v>0</v>
      </c>
      <c r="H21" s="32">
        <f>IF(H$2=Assumptions!$C$30,-Assumptions!$C$28*Assumptions!$C$5,0)</f>
        <v>0</v>
      </c>
      <c r="I21" s="32">
        <f>IF(I$2=Assumptions!$C$30,-Assumptions!$C$28*Assumptions!$C$5,0)</f>
        <v>0</v>
      </c>
      <c r="J21" s="32">
        <f>IF(J$2=Assumptions!$C$30,-Assumptions!$C$28*Assumptions!$C$5,0)</f>
        <v>0</v>
      </c>
      <c r="K21" s="32">
        <f>IF(K$2=Assumptions!$C$30,-Assumptions!$C$28*Assumptions!$C$5,0)</f>
        <v>0</v>
      </c>
      <c r="L21" s="32">
        <f>IF(L$2=Assumptions!$C$30,-Assumptions!$C$28*Assumptions!$C$5,0)</f>
        <v>0</v>
      </c>
      <c r="M21" s="32">
        <f>IF(M$2=Assumptions!$C$30,-Assumptions!$C$28*Assumptions!$C$5,0)</f>
        <v>0</v>
      </c>
      <c r="N21" s="32">
        <f>IF(N$2=Assumptions!$C$30,-Assumptions!$C$28*Assumptions!$C$5,0)</f>
        <v>0</v>
      </c>
      <c r="O21" s="32">
        <f>IF(O$2=Assumptions!$C$30,-Assumptions!$C$28*Assumptions!$C$5,0)</f>
        <v>0</v>
      </c>
      <c r="P21" s="32">
        <f>IF(P$2=Assumptions!$C$30,-Assumptions!$C$28*Assumptions!$C$5,0)</f>
        <v>-320810</v>
      </c>
      <c r="Q21" s="32">
        <f>IF(Q$2=Assumptions!$C$30,-Assumptions!$C$28*Assumptions!$C$5,0)</f>
        <v>0</v>
      </c>
      <c r="R21" s="32">
        <f>IF(R$2=Assumptions!$C$30,-Assumptions!$C$28*Assumptions!$C$5,0)</f>
        <v>0</v>
      </c>
      <c r="S21" s="32">
        <f>IF(S$2=Assumptions!$C$30,-Assumptions!$C$28*Assumptions!$C$5,0)</f>
        <v>0</v>
      </c>
      <c r="T21" s="32">
        <f>IF(T$2=Assumptions!$C$30,-Assumptions!$C$28*Assumptions!$C$5,0)</f>
        <v>0</v>
      </c>
      <c r="U21" s="32">
        <f>IF(U$2=Assumptions!$C$30,-Assumptions!$C$28*Assumptions!$C$5,0)</f>
        <v>0</v>
      </c>
      <c r="V21" s="32">
        <f>IF(V$2=Assumptions!$C$30,-Assumptions!$C$28*Assumptions!$C$5,0)</f>
        <v>0</v>
      </c>
      <c r="W21" s="32">
        <f>IF(W$2=Assumptions!$C$30,-Assumptions!$C$28*Assumptions!$C$5,0)</f>
        <v>0</v>
      </c>
      <c r="X21" s="32">
        <f>IF(X$2=Assumptions!$C$30,-Assumptions!$C$28*Assumptions!$C$5,0)</f>
        <v>0</v>
      </c>
      <c r="Y21" s="32">
        <f>IF(Y$2=Assumptions!$C$30,-Assumptions!$C$28*Assumptions!$C$5,0)</f>
        <v>0</v>
      </c>
      <c r="Z21" s="32">
        <f>IF(Z$2=Assumptions!$C$30,-Assumptions!$C$28*Assumptions!$C$5,0)</f>
        <v>0</v>
      </c>
      <c r="AA21" s="32">
        <f>IF(AA$2=Assumptions!$C$30,-Assumptions!$C$28*Assumptions!$C$5,0)</f>
        <v>0</v>
      </c>
      <c r="AB21" s="32">
        <f>IF(AB$2=Assumptions!$C$30,-Assumptions!$C$28*Assumptions!$C$5,0)</f>
        <v>0</v>
      </c>
      <c r="AC21" s="32">
        <f>IF(AC$2=Assumptions!$C$30,-Assumptions!$C$28*Assumptions!$C$5,0)</f>
        <v>0</v>
      </c>
      <c r="AD21" s="32">
        <f>IF(AD$2=Assumptions!$C$30,-Assumptions!$C$28*Assumptions!$C$5,0)</f>
        <v>0</v>
      </c>
      <c r="AE21" s="32">
        <f>IF(AE$2=Assumptions!$C$30,-Assumptions!$C$28*Assumptions!$C$5,0)</f>
        <v>0</v>
      </c>
      <c r="AF21" s="32">
        <f>IF(AF$2=Assumptions!$C$30,-Assumptions!$C$28*Assumptions!$C$5,0)</f>
        <v>0</v>
      </c>
      <c r="AG21" s="32">
        <f>IF(AG$2=Assumptions!$C$30,-Assumptions!$C$28*Assumptions!$C$5,0)</f>
        <v>0</v>
      </c>
      <c r="AH21" s="32">
        <f>IF(AH$2=Assumptions!$C$30,-Assumptions!$C$28*Assumptions!$C$5,0)</f>
        <v>0</v>
      </c>
      <c r="AI21" s="32">
        <f>IF(AI$2=Assumptions!$C$30,-Assumptions!$C$28*Assumptions!$C$5,0)</f>
        <v>0</v>
      </c>
      <c r="AJ21" s="32">
        <f>IF(AJ$2=Assumptions!$C$30,-Assumptions!$C$28*Assumptions!$C$5,0)</f>
        <v>0</v>
      </c>
      <c r="AK21" s="32">
        <f>IF(AK$2=Assumptions!$C$30,-Assumptions!$C$28*Assumptions!$C$5,0)</f>
        <v>0</v>
      </c>
      <c r="AL21" s="32">
        <f>IF(AL$2=Assumptions!$C$30,-Assumptions!$C$28*Assumptions!$C$5,0)</f>
        <v>0</v>
      </c>
      <c r="AM21" s="32">
        <f>IF(AM$2=Assumptions!$C$30,-Assumptions!$C$28*Assumptions!$C$5,0)</f>
        <v>0</v>
      </c>
      <c r="AN21" s="32">
        <f>IF(AN$2=Assumptions!$C$30,-Assumptions!$C$28*Assumptions!$C$5,0)</f>
        <v>0</v>
      </c>
      <c r="AO21" s="32">
        <f>IF(AO$2=Assumptions!$C$30,-Assumptions!$C$28*Assumptions!$C$5,0)</f>
        <v>0</v>
      </c>
      <c r="AP21" s="32">
        <f>IF(AP$2=Assumptions!$C$30,-Assumptions!$C$28*Assumptions!$C$5,0)</f>
        <v>0</v>
      </c>
      <c r="AQ21" s="32">
        <f>IF(AQ$2=Assumptions!$C$30,-Assumptions!$C$28*Assumptions!$C$5,0)</f>
        <v>0</v>
      </c>
      <c r="AR21" s="32">
        <f>IF(AR$2=Assumptions!$C$30,-Assumptions!$C$28*Assumptions!$C$5,0)</f>
        <v>0</v>
      </c>
      <c r="AS21" s="32">
        <f>IF(AS$2=Assumptions!$C$30,-Assumptions!$C$28*Assumptions!$C$5,0)</f>
        <v>0</v>
      </c>
      <c r="AT21" s="32">
        <f>IF(AT$2=Assumptions!$C$30,-Assumptions!$C$28*Assumptions!$C$5,0)</f>
        <v>0</v>
      </c>
      <c r="AU21" s="32">
        <f>IF(AU$2=Assumptions!$C$30,-Assumptions!$C$28*Assumptions!$C$5,0)</f>
        <v>0</v>
      </c>
      <c r="AV21" s="32">
        <f>IF(AV$2=Assumptions!$C$30,-Assumptions!$C$28*Assumptions!$C$5,0)</f>
        <v>0</v>
      </c>
      <c r="AW21" s="32">
        <f>IF(AW$2=Assumptions!$C$30,-Assumptions!$C$28*Assumptions!$C$5,0)</f>
        <v>0</v>
      </c>
      <c r="AX21" s="32">
        <f>IF(AX$2=Assumptions!$C$30,-Assumptions!$C$28*Assumptions!$C$5,0)</f>
        <v>0</v>
      </c>
      <c r="AY21" s="32">
        <f>IF(AY$2=Assumptions!$C$30,-Assumptions!$C$28*Assumptions!$C$5,0)</f>
        <v>0</v>
      </c>
      <c r="AZ21" s="32">
        <f>IF(AZ$2=Assumptions!$C$30,-Assumptions!$C$28*Assumptions!$C$5,0)</f>
        <v>0</v>
      </c>
      <c r="BA21" s="32">
        <f>IF(BA$2=Assumptions!$C$30,-Assumptions!$C$28*Assumptions!$C$5,0)</f>
        <v>0</v>
      </c>
      <c r="BB21" s="32">
        <f>IF(BB$2=Assumptions!$C$30,-Assumptions!$C$28*Assumptions!$C$5,0)</f>
        <v>0</v>
      </c>
      <c r="BC21" s="32">
        <f>IF(BC$2=Assumptions!$C$30,-Assumptions!$C$28*Assumptions!$C$5,0)</f>
        <v>0</v>
      </c>
      <c r="BD21" s="32">
        <f>IF(BD$2=Assumptions!$C$30,-Assumptions!$C$28*Assumptions!$C$5,0)</f>
        <v>0</v>
      </c>
      <c r="BE21" s="32">
        <f>IF(BE$2=Assumptions!$C$30,-Assumptions!$C$28*Assumptions!$C$5,0)</f>
        <v>0</v>
      </c>
      <c r="BF21" s="32">
        <f>IF(BF$2=Assumptions!$C$30,-Assumptions!$C$28*Assumptions!$C$5,0)</f>
        <v>0</v>
      </c>
      <c r="BG21" s="32">
        <f>IF(BG$2=Assumptions!$C$30,-Assumptions!$C$28*Assumptions!$C$5,0)</f>
        <v>0</v>
      </c>
      <c r="BH21" s="32">
        <f>IF(BH$2=Assumptions!$C$30,-Assumptions!$C$28*Assumptions!$C$5,0)</f>
        <v>0</v>
      </c>
      <c r="BI21" s="32">
        <f>IF(BI$2=Assumptions!$C$30,-Assumptions!$C$28*Assumptions!$C$5,0)</f>
        <v>0</v>
      </c>
      <c r="BJ21" s="32">
        <f>IF(BJ$2=Assumptions!$C$30,-Assumptions!$C$28*Assumptions!$C$5,0)</f>
        <v>0</v>
      </c>
      <c r="BK21" s="32">
        <f>IF(BK$2=Assumptions!$C$30,-Assumptions!$C$28*Assumptions!$C$5,0)</f>
        <v>0</v>
      </c>
    </row>
    <row r="22" spans="2:64" x14ac:dyDescent="0.2">
      <c r="B22" s="16" t="s">
        <v>153</v>
      </c>
      <c r="D22" s="32">
        <f>IF(D$2=Assumptions!$C$30,-'Sources and Uses'!$C$8,0)</f>
        <v>0</v>
      </c>
      <c r="E22" s="32">
        <f>IF(E$2=Assumptions!$C$30,-'Sources and Uses'!$C$8,0)</f>
        <v>0</v>
      </c>
      <c r="F22" s="32">
        <f>IF(F$2=Assumptions!$C$30,-'Sources and Uses'!$C$8,0)</f>
        <v>0</v>
      </c>
      <c r="G22" s="32">
        <f>IF(G$2=Assumptions!$C$30,-'Sources and Uses'!$C$8,0)</f>
        <v>0</v>
      </c>
      <c r="H22" s="32">
        <f>IF(H$2=Assumptions!$C$30,-'Sources and Uses'!$C$8,0)</f>
        <v>0</v>
      </c>
      <c r="I22" s="32">
        <f>IF(I$2=Assumptions!$C$30,-'Sources and Uses'!$C$8,0)</f>
        <v>0</v>
      </c>
      <c r="J22" s="32">
        <f>IF(J$2=Assumptions!$C$30,-'Sources and Uses'!$C$8,0)</f>
        <v>0</v>
      </c>
      <c r="K22" s="32">
        <f>IF(K$2=Assumptions!$C$30,-'Sources and Uses'!$C$8,0)</f>
        <v>0</v>
      </c>
      <c r="L22" s="32">
        <f>IF(L$2=Assumptions!$C$30,-'Sources and Uses'!$C$8,0)</f>
        <v>0</v>
      </c>
      <c r="M22" s="32">
        <f>IF(M$2=Assumptions!$C$30,-'Sources and Uses'!$C$8,0)</f>
        <v>0</v>
      </c>
      <c r="N22" s="32">
        <f>IF(N$2=Assumptions!$C$30,-'Sources and Uses'!$C$8,0)</f>
        <v>0</v>
      </c>
      <c r="O22" s="32">
        <f>IF(O$2=Assumptions!$C$30,-'Sources and Uses'!$C$8,0)</f>
        <v>0</v>
      </c>
      <c r="P22" s="32">
        <f>IF(P$2=Assumptions!$C$30,-'Sources and Uses'!$C$8,0)</f>
        <v>-192486.00000000003</v>
      </c>
      <c r="Q22" s="32">
        <f>IF(Q$2=Assumptions!$C$30,-'Sources and Uses'!$C$8,0)</f>
        <v>0</v>
      </c>
      <c r="R22" s="32">
        <f>IF(R$2=Assumptions!$C$30,-'Sources and Uses'!$C$8,0)</f>
        <v>0</v>
      </c>
      <c r="S22" s="32">
        <f>IF(S$2=Assumptions!$C$30,-'Sources and Uses'!$C$8,0)</f>
        <v>0</v>
      </c>
      <c r="T22" s="32">
        <f>IF(T$2=Assumptions!$C$30,-'Sources and Uses'!$C$8,0)</f>
        <v>0</v>
      </c>
      <c r="U22" s="32">
        <f>IF(U$2=Assumptions!$C$30,-'Sources and Uses'!$C$8,0)</f>
        <v>0</v>
      </c>
      <c r="V22" s="32">
        <f>IF(V$2=Assumptions!$C$30,-'Sources and Uses'!$C$8,0)</f>
        <v>0</v>
      </c>
      <c r="W22" s="32">
        <f>IF(W$2=Assumptions!$C$30,-'Sources and Uses'!$C$8,0)</f>
        <v>0</v>
      </c>
      <c r="X22" s="32">
        <f>IF(X$2=Assumptions!$C$30,-'Sources and Uses'!$C$8,0)</f>
        <v>0</v>
      </c>
      <c r="Y22" s="32">
        <f>IF(Y$2=Assumptions!$C$30,-'Sources and Uses'!$C$8,0)</f>
        <v>0</v>
      </c>
      <c r="Z22" s="32">
        <f>IF(Z$2=Assumptions!$C$30,-'Sources and Uses'!$C$8,0)</f>
        <v>0</v>
      </c>
      <c r="AA22" s="32">
        <f>IF(AA$2=Assumptions!$C$30,-'Sources and Uses'!$C$8,0)</f>
        <v>0</v>
      </c>
      <c r="AB22" s="32">
        <f>IF(AB$2=Assumptions!$C$30,-'Sources and Uses'!$C$8,0)</f>
        <v>0</v>
      </c>
      <c r="AC22" s="32">
        <f>IF(AC$2=Assumptions!$C$30,-'Sources and Uses'!$C$8,0)</f>
        <v>0</v>
      </c>
      <c r="AD22" s="32">
        <f>IF(AD$2=Assumptions!$C$30,-'Sources and Uses'!$C$8,0)</f>
        <v>0</v>
      </c>
      <c r="AE22" s="32">
        <f>IF(AE$2=Assumptions!$C$30,-'Sources and Uses'!$C$8,0)</f>
        <v>0</v>
      </c>
      <c r="AF22" s="32">
        <f>IF(AF$2=Assumptions!$C$30,-'Sources and Uses'!$C$8,0)</f>
        <v>0</v>
      </c>
      <c r="AG22" s="32">
        <f>IF(AG$2=Assumptions!$C$30,-'Sources and Uses'!$C$8,0)</f>
        <v>0</v>
      </c>
      <c r="AH22" s="32">
        <f>IF(AH$2=Assumptions!$C$30,-'Sources and Uses'!$C$8,0)</f>
        <v>0</v>
      </c>
      <c r="AI22" s="32">
        <f>IF(AI$2=Assumptions!$C$30,-'Sources and Uses'!$C$8,0)</f>
        <v>0</v>
      </c>
      <c r="AJ22" s="32">
        <f>IF(AJ$2=Assumptions!$C$30,-'Sources and Uses'!$C$8,0)</f>
        <v>0</v>
      </c>
      <c r="AK22" s="32">
        <f>IF(AK$2=Assumptions!$C$30,-'Sources and Uses'!$C$8,0)</f>
        <v>0</v>
      </c>
      <c r="AL22" s="32">
        <f>IF(AL$2=Assumptions!$C$30,-'Sources and Uses'!$C$8,0)</f>
        <v>0</v>
      </c>
      <c r="AM22" s="32">
        <f>IF(AM$2=Assumptions!$C$30,-'Sources and Uses'!$C$8,0)</f>
        <v>0</v>
      </c>
      <c r="AN22" s="32">
        <f>IF(AN$2=Assumptions!$C$30,-'Sources and Uses'!$C$8,0)</f>
        <v>0</v>
      </c>
      <c r="AO22" s="32">
        <f>IF(AO$2=Assumptions!$C$30,-'Sources and Uses'!$C$8,0)</f>
        <v>0</v>
      </c>
      <c r="AP22" s="32">
        <f>IF(AP$2=Assumptions!$C$30,-'Sources and Uses'!$C$8,0)</f>
        <v>0</v>
      </c>
      <c r="AQ22" s="32">
        <f>IF(AQ$2=Assumptions!$C$30,-'Sources and Uses'!$C$8,0)</f>
        <v>0</v>
      </c>
      <c r="AR22" s="32">
        <f>IF(AR$2=Assumptions!$C$30,-'Sources and Uses'!$C$8,0)</f>
        <v>0</v>
      </c>
      <c r="AS22" s="32">
        <f>IF(AS$2=Assumptions!$C$30,-'Sources and Uses'!$C$8,0)</f>
        <v>0</v>
      </c>
      <c r="AT22" s="32">
        <f>IF(AT$2=Assumptions!$C$30,-'Sources and Uses'!$C$8,0)</f>
        <v>0</v>
      </c>
      <c r="AU22" s="32">
        <f>IF(AU$2=Assumptions!$C$30,-'Sources and Uses'!$C$8,0)</f>
        <v>0</v>
      </c>
      <c r="AV22" s="32">
        <f>IF(AV$2=Assumptions!$C$30,-'Sources and Uses'!$C$8,0)</f>
        <v>0</v>
      </c>
      <c r="AW22" s="32">
        <f>IF(AW$2=Assumptions!$C$30,-'Sources and Uses'!$C$8,0)</f>
        <v>0</v>
      </c>
      <c r="AX22" s="32">
        <f>IF(AX$2=Assumptions!$C$30,-'Sources and Uses'!$C$8,0)</f>
        <v>0</v>
      </c>
      <c r="AY22" s="32">
        <f>IF(AY$2=Assumptions!$C$30,-'Sources and Uses'!$C$8,0)</f>
        <v>0</v>
      </c>
      <c r="AZ22" s="32">
        <f>IF(AZ$2=Assumptions!$C$30,-'Sources and Uses'!$C$8,0)</f>
        <v>0</v>
      </c>
      <c r="BA22" s="32">
        <f>IF(BA$2=Assumptions!$C$30,-'Sources and Uses'!$C$8,0)</f>
        <v>0</v>
      </c>
      <c r="BB22" s="32">
        <f>IF(BB$2=Assumptions!$C$30,-'Sources and Uses'!$C$8,0)</f>
        <v>0</v>
      </c>
      <c r="BC22" s="32">
        <f>IF(BC$2=Assumptions!$C$30,-'Sources and Uses'!$C$8,0)</f>
        <v>0</v>
      </c>
      <c r="BD22" s="32">
        <f>IF(BD$2=Assumptions!$C$30,-'Sources and Uses'!$C$8,0)</f>
        <v>0</v>
      </c>
      <c r="BE22" s="32">
        <f>IF(BE$2=Assumptions!$C$30,-'Sources and Uses'!$C$8,0)</f>
        <v>0</v>
      </c>
      <c r="BF22" s="32">
        <f>IF(BF$2=Assumptions!$C$30,-'Sources and Uses'!$C$8,0)</f>
        <v>0</v>
      </c>
      <c r="BG22" s="32">
        <f>IF(BG$2=Assumptions!$C$30,-'Sources and Uses'!$C$8,0)</f>
        <v>0</v>
      </c>
      <c r="BH22" s="32">
        <f>IF(BH$2=Assumptions!$C$30,-'Sources and Uses'!$C$8,0)</f>
        <v>0</v>
      </c>
      <c r="BI22" s="32">
        <f>IF(BI$2=Assumptions!$C$30,-'Sources and Uses'!$C$8,0)</f>
        <v>0</v>
      </c>
      <c r="BJ22" s="32">
        <f>IF(BJ$2=Assumptions!$C$30,-'Sources and Uses'!$C$8,0)</f>
        <v>0</v>
      </c>
      <c r="BK22" s="32">
        <f>IF(BK$2=Assumptions!$C$30,-'Sources and Uses'!$C$8,0)</f>
        <v>0</v>
      </c>
    </row>
    <row r="23" spans="2:64" x14ac:dyDescent="0.2">
      <c r="B23" s="16" t="s">
        <v>154</v>
      </c>
      <c r="D23" s="32">
        <f>-Assumptions!$C$40*Assumptions!$C$5/12</f>
        <v>-401.01249999999999</v>
      </c>
      <c r="E23" s="32">
        <f>-Assumptions!$C$40*Assumptions!$C$5/12</f>
        <v>-401.01249999999999</v>
      </c>
      <c r="F23" s="32">
        <f>-Assumptions!$C$40*Assumptions!$C$5/12</f>
        <v>-401.01249999999999</v>
      </c>
      <c r="G23" s="32">
        <f>-Assumptions!$C$40*Assumptions!$C$5/12</f>
        <v>-401.01249999999999</v>
      </c>
      <c r="H23" s="32">
        <f>-Assumptions!$C$40*Assumptions!$C$5/12</f>
        <v>-401.01249999999999</v>
      </c>
      <c r="I23" s="32">
        <f>-Assumptions!$C$40*Assumptions!$C$5/12</f>
        <v>-401.01249999999999</v>
      </c>
      <c r="J23" s="32">
        <f>-Assumptions!$C$40*Assumptions!$C$5/12</f>
        <v>-401.01249999999999</v>
      </c>
      <c r="K23" s="32">
        <f>-Assumptions!$C$40*Assumptions!$C$5/12</f>
        <v>-401.01249999999999</v>
      </c>
      <c r="L23" s="32">
        <f>-Assumptions!$C$40*Assumptions!$C$5/12</f>
        <v>-401.01249999999999</v>
      </c>
      <c r="M23" s="32">
        <f>-Assumptions!$C$40*Assumptions!$C$5/12</f>
        <v>-401.01249999999999</v>
      </c>
      <c r="N23" s="32">
        <f>-Assumptions!$C$40*Assumptions!$C$5/12</f>
        <v>-401.01249999999999</v>
      </c>
      <c r="O23" s="32">
        <f>-Assumptions!$C$40*Assumptions!$C$5/12</f>
        <v>-401.01249999999999</v>
      </c>
      <c r="P23" s="32">
        <f>-Assumptions!$C$40*Assumptions!$C$5/12</f>
        <v>-401.01249999999999</v>
      </c>
      <c r="Q23" s="32">
        <f>-Assumptions!$C$40*Assumptions!$C$5/12</f>
        <v>-401.01249999999999</v>
      </c>
      <c r="R23" s="32">
        <f>-Assumptions!$C$40*Assumptions!$C$5/12</f>
        <v>-401.01249999999999</v>
      </c>
      <c r="S23" s="32">
        <f>-Assumptions!$C$40*Assumptions!$C$5/12</f>
        <v>-401.01249999999999</v>
      </c>
      <c r="T23" s="32">
        <f>-Assumptions!$C$40*Assumptions!$C$5/12</f>
        <v>-401.01249999999999</v>
      </c>
      <c r="U23" s="32">
        <f>-Assumptions!$C$40*Assumptions!$C$5/12</f>
        <v>-401.01249999999999</v>
      </c>
      <c r="V23" s="32">
        <f>-Assumptions!$C$40*Assumptions!$C$5/12</f>
        <v>-401.01249999999999</v>
      </c>
      <c r="W23" s="32">
        <f>-Assumptions!$C$40*Assumptions!$C$5/12</f>
        <v>-401.01249999999999</v>
      </c>
      <c r="X23" s="32">
        <f>-Assumptions!$C$40*Assumptions!$C$5/12</f>
        <v>-401.01249999999999</v>
      </c>
      <c r="Y23" s="32">
        <f>-Assumptions!$C$40*Assumptions!$C$5/12</f>
        <v>-401.01249999999999</v>
      </c>
      <c r="Z23" s="32">
        <f>-Assumptions!$C$40*Assumptions!$C$5/12</f>
        <v>-401.01249999999999</v>
      </c>
      <c r="AA23" s="32">
        <f>-Assumptions!$C$40*Assumptions!$C$5/12</f>
        <v>-401.01249999999999</v>
      </c>
      <c r="AB23" s="32">
        <f>-Assumptions!$C$40*Assumptions!$C$5/12</f>
        <v>-401.01249999999999</v>
      </c>
      <c r="AC23" s="32">
        <f>-Assumptions!$C$40*Assumptions!$C$5/12</f>
        <v>-401.01249999999999</v>
      </c>
      <c r="AD23" s="32">
        <f>-Assumptions!$C$40*Assumptions!$C$5/12</f>
        <v>-401.01249999999999</v>
      </c>
      <c r="AE23" s="32">
        <f>-Assumptions!$C$40*Assumptions!$C$5/12</f>
        <v>-401.01249999999999</v>
      </c>
      <c r="AF23" s="32">
        <f>-Assumptions!$C$40*Assumptions!$C$5/12</f>
        <v>-401.01249999999999</v>
      </c>
      <c r="AG23" s="32">
        <f>-Assumptions!$C$40*Assumptions!$C$5/12</f>
        <v>-401.01249999999999</v>
      </c>
      <c r="AH23" s="32">
        <f>-Assumptions!$C$40*Assumptions!$C$5/12</f>
        <v>-401.01249999999999</v>
      </c>
      <c r="AI23" s="32">
        <f>-Assumptions!$C$40*Assumptions!$C$5/12</f>
        <v>-401.01249999999999</v>
      </c>
      <c r="AJ23" s="32">
        <f>-Assumptions!$C$40*Assumptions!$C$5/12</f>
        <v>-401.01249999999999</v>
      </c>
      <c r="AK23" s="32">
        <f>-Assumptions!$C$40*Assumptions!$C$5/12</f>
        <v>-401.01249999999999</v>
      </c>
      <c r="AL23" s="32">
        <f>-Assumptions!$C$40*Assumptions!$C$5/12</f>
        <v>-401.01249999999999</v>
      </c>
      <c r="AM23" s="32">
        <f>-Assumptions!$C$40*Assumptions!$C$5/12</f>
        <v>-401.01249999999999</v>
      </c>
      <c r="AN23" s="32">
        <f>-Assumptions!$C$40*Assumptions!$C$5/12</f>
        <v>-401.01249999999999</v>
      </c>
      <c r="AO23" s="32">
        <f>-Assumptions!$C$40*Assumptions!$C$5/12</f>
        <v>-401.01249999999999</v>
      </c>
      <c r="AP23" s="32">
        <f>-Assumptions!$C$40*Assumptions!$C$5/12</f>
        <v>-401.01249999999999</v>
      </c>
      <c r="AQ23" s="32">
        <f>-Assumptions!$C$40*Assumptions!$C$5/12</f>
        <v>-401.01249999999999</v>
      </c>
      <c r="AR23" s="32">
        <f>-Assumptions!$C$40*Assumptions!$C$5/12</f>
        <v>-401.01249999999999</v>
      </c>
      <c r="AS23" s="32">
        <f>-Assumptions!$C$40*Assumptions!$C$5/12</f>
        <v>-401.01249999999999</v>
      </c>
      <c r="AT23" s="32">
        <f>-Assumptions!$C$40*Assumptions!$C$5/12</f>
        <v>-401.01249999999999</v>
      </c>
      <c r="AU23" s="32">
        <f>-Assumptions!$C$40*Assumptions!$C$5/12</f>
        <v>-401.01249999999999</v>
      </c>
      <c r="AV23" s="32">
        <f>-Assumptions!$C$40*Assumptions!$C$5/12</f>
        <v>-401.01249999999999</v>
      </c>
      <c r="AW23" s="32">
        <f>-Assumptions!$C$40*Assumptions!$C$5/12</f>
        <v>-401.01249999999999</v>
      </c>
      <c r="AX23" s="32">
        <f>-Assumptions!$C$40*Assumptions!$C$5/12</f>
        <v>-401.01249999999999</v>
      </c>
      <c r="AY23" s="32">
        <f>-Assumptions!$C$40*Assumptions!$C$5/12</f>
        <v>-401.01249999999999</v>
      </c>
      <c r="AZ23" s="32">
        <f>-Assumptions!$C$40*Assumptions!$C$5/12</f>
        <v>-401.01249999999999</v>
      </c>
      <c r="BA23" s="32">
        <f>-Assumptions!$C$40*Assumptions!$C$5/12</f>
        <v>-401.01249999999999</v>
      </c>
      <c r="BB23" s="32">
        <f>-Assumptions!$C$40*Assumptions!$C$5/12</f>
        <v>-401.01249999999999</v>
      </c>
      <c r="BC23" s="32">
        <f>-Assumptions!$C$40*Assumptions!$C$5/12</f>
        <v>-401.01249999999999</v>
      </c>
      <c r="BD23" s="32">
        <f>-Assumptions!$C$40*Assumptions!$C$5/12</f>
        <v>-401.01249999999999</v>
      </c>
      <c r="BE23" s="32">
        <f>-Assumptions!$C$40*Assumptions!$C$5/12</f>
        <v>-401.01249999999999</v>
      </c>
      <c r="BF23" s="32">
        <f>-Assumptions!$C$40*Assumptions!$C$5/12</f>
        <v>-401.01249999999999</v>
      </c>
      <c r="BG23" s="32">
        <f>-Assumptions!$C$40*Assumptions!$C$5/12</f>
        <v>-401.01249999999999</v>
      </c>
      <c r="BH23" s="32">
        <f>-Assumptions!$C$40*Assumptions!$C$5/12</f>
        <v>-401.01249999999999</v>
      </c>
      <c r="BI23" s="32">
        <f>-Assumptions!$C$40*Assumptions!$C$5/12</f>
        <v>-401.01249999999999</v>
      </c>
      <c r="BJ23" s="32">
        <f>-Assumptions!$C$40*Assumptions!$C$5/12</f>
        <v>-401.01249999999999</v>
      </c>
      <c r="BK23" s="32">
        <f>-Assumptions!$C$40*Assumptions!$C$5/12</f>
        <v>-401.01249999999999</v>
      </c>
    </row>
    <row r="24" spans="2:64" x14ac:dyDescent="0.2">
      <c r="B24" s="4" t="s">
        <v>155</v>
      </c>
      <c r="C24" s="33"/>
      <c r="D24" s="34">
        <f t="shared" ref="D24:AI24" si="10">SUM(D20:D23)</f>
        <v>-294476.84583333333</v>
      </c>
      <c r="E24" s="34">
        <f t="shared" si="10"/>
        <v>-294476.84583333333</v>
      </c>
      <c r="F24" s="34">
        <f t="shared" si="10"/>
        <v>-294476.84583333333</v>
      </c>
      <c r="G24" s="34">
        <f t="shared" si="10"/>
        <v>-294476.84583333333</v>
      </c>
      <c r="H24" s="34">
        <f t="shared" si="10"/>
        <v>-294476.84583333333</v>
      </c>
      <c r="I24" s="34">
        <f t="shared" si="10"/>
        <v>-294476.84583333333</v>
      </c>
      <c r="J24" s="34">
        <f t="shared" si="10"/>
        <v>-401.01249999999999</v>
      </c>
      <c r="K24" s="34">
        <f t="shared" si="10"/>
        <v>-401.01249999999999</v>
      </c>
      <c r="L24" s="34">
        <f t="shared" si="10"/>
        <v>-401.01249999999999</v>
      </c>
      <c r="M24" s="34">
        <f t="shared" si="10"/>
        <v>-401.01249999999999</v>
      </c>
      <c r="N24" s="34">
        <f t="shared" si="10"/>
        <v>-401.01249999999999</v>
      </c>
      <c r="O24" s="34">
        <f t="shared" si="10"/>
        <v>-401.01249999999999</v>
      </c>
      <c r="P24" s="34">
        <f t="shared" si="10"/>
        <v>-513697.01250000001</v>
      </c>
      <c r="Q24" s="34">
        <f t="shared" si="10"/>
        <v>-401.01249999999999</v>
      </c>
      <c r="R24" s="34">
        <f t="shared" si="10"/>
        <v>-401.01249999999999</v>
      </c>
      <c r="S24" s="34">
        <f t="shared" si="10"/>
        <v>-401.01249999999999</v>
      </c>
      <c r="T24" s="34">
        <f t="shared" si="10"/>
        <v>-401.01249999999999</v>
      </c>
      <c r="U24" s="34">
        <f t="shared" si="10"/>
        <v>-401.01249999999999</v>
      </c>
      <c r="V24" s="34">
        <f t="shared" si="10"/>
        <v>-401.01249999999999</v>
      </c>
      <c r="W24" s="34">
        <f t="shared" si="10"/>
        <v>-401.01249999999999</v>
      </c>
      <c r="X24" s="34">
        <f t="shared" si="10"/>
        <v>-401.01249999999999</v>
      </c>
      <c r="Y24" s="34">
        <f t="shared" si="10"/>
        <v>-401.01249999999999</v>
      </c>
      <c r="Z24" s="34">
        <f t="shared" si="10"/>
        <v>-401.01249999999999</v>
      </c>
      <c r="AA24" s="34">
        <f t="shared" si="10"/>
        <v>-401.01249999999999</v>
      </c>
      <c r="AB24" s="34">
        <f t="shared" si="10"/>
        <v>-401.01249999999999</v>
      </c>
      <c r="AC24" s="34">
        <f t="shared" si="10"/>
        <v>-401.01249999999999</v>
      </c>
      <c r="AD24" s="34">
        <f t="shared" si="10"/>
        <v>-401.01249999999999</v>
      </c>
      <c r="AE24" s="34">
        <f t="shared" si="10"/>
        <v>-401.01249999999999</v>
      </c>
      <c r="AF24" s="34">
        <f t="shared" si="10"/>
        <v>-401.01249999999999</v>
      </c>
      <c r="AG24" s="34">
        <f t="shared" si="10"/>
        <v>-401.01249999999999</v>
      </c>
      <c r="AH24" s="34">
        <f t="shared" si="10"/>
        <v>-401.01249999999999</v>
      </c>
      <c r="AI24" s="34">
        <f t="shared" si="10"/>
        <v>-401.01249999999999</v>
      </c>
      <c r="AJ24" s="34">
        <f t="shared" ref="AJ24:BO24" si="11">SUM(AJ20:AJ23)</f>
        <v>-401.01249999999999</v>
      </c>
      <c r="AK24" s="34">
        <f t="shared" si="11"/>
        <v>-401.01249999999999</v>
      </c>
      <c r="AL24" s="34">
        <f t="shared" si="11"/>
        <v>-401.01249999999999</v>
      </c>
      <c r="AM24" s="34">
        <f t="shared" si="11"/>
        <v>-401.01249999999999</v>
      </c>
      <c r="AN24" s="34">
        <f t="shared" si="11"/>
        <v>-401.01249999999999</v>
      </c>
      <c r="AO24" s="34">
        <f t="shared" si="11"/>
        <v>-401.01249999999999</v>
      </c>
      <c r="AP24" s="34">
        <f t="shared" si="11"/>
        <v>-401.01249999999999</v>
      </c>
      <c r="AQ24" s="34">
        <f t="shared" si="11"/>
        <v>-401.01249999999999</v>
      </c>
      <c r="AR24" s="34">
        <f t="shared" si="11"/>
        <v>-401.01249999999999</v>
      </c>
      <c r="AS24" s="34">
        <f t="shared" si="11"/>
        <v>-401.01249999999999</v>
      </c>
      <c r="AT24" s="34">
        <f t="shared" si="11"/>
        <v>-401.01249999999999</v>
      </c>
      <c r="AU24" s="34">
        <f t="shared" si="11"/>
        <v>-401.01249999999999</v>
      </c>
      <c r="AV24" s="34">
        <f t="shared" si="11"/>
        <v>-401.01249999999999</v>
      </c>
      <c r="AW24" s="34">
        <f t="shared" si="11"/>
        <v>-401.01249999999999</v>
      </c>
      <c r="AX24" s="34">
        <f t="shared" si="11"/>
        <v>-401.01249999999999</v>
      </c>
      <c r="AY24" s="34">
        <f t="shared" si="11"/>
        <v>-401.01249999999999</v>
      </c>
      <c r="AZ24" s="34">
        <f t="shared" si="11"/>
        <v>-401.01249999999999</v>
      </c>
      <c r="BA24" s="34">
        <f t="shared" si="11"/>
        <v>-401.01249999999999</v>
      </c>
      <c r="BB24" s="34">
        <f t="shared" si="11"/>
        <v>-401.01249999999999</v>
      </c>
      <c r="BC24" s="34">
        <f t="shared" si="11"/>
        <v>-401.01249999999999</v>
      </c>
      <c r="BD24" s="34">
        <f t="shared" si="11"/>
        <v>-401.01249999999999</v>
      </c>
      <c r="BE24" s="34">
        <f t="shared" si="11"/>
        <v>-401.01249999999999</v>
      </c>
      <c r="BF24" s="34">
        <f t="shared" si="11"/>
        <v>-401.01249999999999</v>
      </c>
      <c r="BG24" s="34">
        <f t="shared" si="11"/>
        <v>-401.01249999999999</v>
      </c>
      <c r="BH24" s="34">
        <f t="shared" si="11"/>
        <v>-401.01249999999999</v>
      </c>
      <c r="BI24" s="34">
        <f t="shared" si="11"/>
        <v>-401.01249999999999</v>
      </c>
      <c r="BJ24" s="34">
        <f t="shared" si="11"/>
        <v>-401.01249999999999</v>
      </c>
      <c r="BK24" s="34">
        <f t="shared" si="11"/>
        <v>-401.01249999999999</v>
      </c>
      <c r="BL24" s="33"/>
    </row>
    <row r="26" spans="2:64" x14ac:dyDescent="0.2">
      <c r="B26" s="4" t="s">
        <v>156</v>
      </c>
    </row>
    <row r="27" spans="2:64" x14ac:dyDescent="0.2">
      <c r="B27" s="16" t="s">
        <v>157</v>
      </c>
      <c r="C27" s="32">
        <f>-('Sources and Uses'!C4+'Sources and Uses'!C5)</f>
        <v>-11016000</v>
      </c>
    </row>
    <row r="28" spans="2:64" x14ac:dyDescent="0.2">
      <c r="B28" s="16" t="s">
        <v>158</v>
      </c>
      <c r="D28" s="32">
        <f>IF(D$2=Assumptions!$C$50,(E17*12/Assumptions!$C$51)*(1-Assumptions!$C$52),0)</f>
        <v>0</v>
      </c>
      <c r="E28" s="32">
        <f>IF(E$2=Assumptions!$C$50,(F17*12/Assumptions!$C$51)*(1-Assumptions!$C$52),0)</f>
        <v>0</v>
      </c>
      <c r="F28" s="32">
        <f>IF(F$2=Assumptions!$C$50,(G17*12/Assumptions!$C$51)*(1-Assumptions!$C$52),0)</f>
        <v>0</v>
      </c>
      <c r="G28" s="32">
        <f>IF(G$2=Assumptions!$C$50,(H17*12/Assumptions!$C$51)*(1-Assumptions!$C$52),0)</f>
        <v>0</v>
      </c>
      <c r="H28" s="32">
        <f>IF(H$2=Assumptions!$C$50,(I17*12/Assumptions!$C$51)*(1-Assumptions!$C$52),0)</f>
        <v>0</v>
      </c>
      <c r="I28" s="32">
        <f>IF(I$2=Assumptions!$C$50,(J17*12/Assumptions!$C$51)*(1-Assumptions!$C$52),0)</f>
        <v>0</v>
      </c>
      <c r="J28" s="32">
        <f>IF(J$2=Assumptions!$C$50,(K17*12/Assumptions!$C$51)*(1-Assumptions!$C$52),0)</f>
        <v>0</v>
      </c>
      <c r="K28" s="32">
        <f>IF(K$2=Assumptions!$C$50,(L17*12/Assumptions!$C$51)*(1-Assumptions!$C$52),0)</f>
        <v>0</v>
      </c>
      <c r="L28" s="32">
        <f>IF(L$2=Assumptions!$C$50,(M17*12/Assumptions!$C$51)*(1-Assumptions!$C$52),0)</f>
        <v>0</v>
      </c>
      <c r="M28" s="32">
        <f>IF(M$2=Assumptions!$C$50,(N17*12/Assumptions!$C$51)*(1-Assumptions!$C$52),0)</f>
        <v>0</v>
      </c>
      <c r="N28" s="32">
        <f>IF(N$2=Assumptions!$C$50,(O17*12/Assumptions!$C$51)*(1-Assumptions!$C$52),0)</f>
        <v>0</v>
      </c>
      <c r="O28" s="32">
        <f>IF(O$2=Assumptions!$C$50,(P17*12/Assumptions!$C$51)*(1-Assumptions!$C$52),0)</f>
        <v>0</v>
      </c>
      <c r="P28" s="32">
        <f>IF(P$2=Assumptions!$C$50,(Q17*12/Assumptions!$C$51)*(1-Assumptions!$C$52),0)</f>
        <v>0</v>
      </c>
      <c r="Q28" s="32">
        <f>IF(Q$2=Assumptions!$C$50,(R17*12/Assumptions!$C$51)*(1-Assumptions!$C$52),0)</f>
        <v>0</v>
      </c>
      <c r="R28" s="32">
        <f>IF(R$2=Assumptions!$C$50,(S17*12/Assumptions!$C$51)*(1-Assumptions!$C$52),0)</f>
        <v>0</v>
      </c>
      <c r="S28" s="32">
        <f>IF(S$2=Assumptions!$C$50,(T17*12/Assumptions!$C$51)*(1-Assumptions!$C$52),0)</f>
        <v>0</v>
      </c>
      <c r="T28" s="32">
        <f>IF(T$2=Assumptions!$C$50,(U17*12/Assumptions!$C$51)*(1-Assumptions!$C$52),0)</f>
        <v>0</v>
      </c>
      <c r="U28" s="32">
        <f>IF(U$2=Assumptions!$C$50,(V17*12/Assumptions!$C$51)*(1-Assumptions!$C$52),0)</f>
        <v>0</v>
      </c>
      <c r="V28" s="32">
        <f>IF(V$2=Assumptions!$C$50,(W17*12/Assumptions!$C$51)*(1-Assumptions!$C$52),0)</f>
        <v>0</v>
      </c>
      <c r="W28" s="32">
        <f>IF(W$2=Assumptions!$C$50,(X17*12/Assumptions!$C$51)*(1-Assumptions!$C$52),0)</f>
        <v>0</v>
      </c>
      <c r="X28" s="32">
        <f>IF(X$2=Assumptions!$C$50,(Y17*12/Assumptions!$C$51)*(1-Assumptions!$C$52),0)</f>
        <v>0</v>
      </c>
      <c r="Y28" s="32">
        <f>IF(Y$2=Assumptions!$C$50,(Z17*12/Assumptions!$C$51)*(1-Assumptions!$C$52),0)</f>
        <v>0</v>
      </c>
      <c r="Z28" s="32">
        <f>IF(Z$2=Assumptions!$C$50,(AA17*12/Assumptions!$C$51)*(1-Assumptions!$C$52),0)</f>
        <v>0</v>
      </c>
      <c r="AA28" s="32">
        <f>IF(AA$2=Assumptions!$C$50,(AB17*12/Assumptions!$C$51)*(1-Assumptions!$C$52),0)</f>
        <v>0</v>
      </c>
      <c r="AB28" s="32">
        <f>IF(AB$2=Assumptions!$C$50,(AC17*12/Assumptions!$C$51)*(1-Assumptions!$C$52),0)</f>
        <v>0</v>
      </c>
      <c r="AC28" s="32">
        <f>IF(AC$2=Assumptions!$C$50,(AD17*12/Assumptions!$C$51)*(1-Assumptions!$C$52),0)</f>
        <v>0</v>
      </c>
      <c r="AD28" s="32">
        <f>IF(AD$2=Assumptions!$C$50,(AE17*12/Assumptions!$C$51)*(1-Assumptions!$C$52),0)</f>
        <v>0</v>
      </c>
      <c r="AE28" s="32">
        <f>IF(AE$2=Assumptions!$C$50,(AF17*12/Assumptions!$C$51)*(1-Assumptions!$C$52),0)</f>
        <v>0</v>
      </c>
      <c r="AF28" s="32">
        <f>IF(AF$2=Assumptions!$C$50,(AG17*12/Assumptions!$C$51)*(1-Assumptions!$C$52),0)</f>
        <v>0</v>
      </c>
      <c r="AG28" s="32">
        <f>IF(AG$2=Assumptions!$C$50,(AH17*12/Assumptions!$C$51)*(1-Assumptions!$C$52),0)</f>
        <v>0</v>
      </c>
      <c r="AH28" s="32">
        <f>IF(AH$2=Assumptions!$C$50,(AI17*12/Assumptions!$C$51)*(1-Assumptions!$C$52),0)</f>
        <v>0</v>
      </c>
      <c r="AI28" s="32">
        <f>IF(AI$2=Assumptions!$C$50,(AJ17*12/Assumptions!$C$51)*(1-Assumptions!$C$52),0)</f>
        <v>0</v>
      </c>
      <c r="AJ28" s="32">
        <f>IF(AJ$2=Assumptions!$C$50,(AK17*12/Assumptions!$C$51)*(1-Assumptions!$C$52),0)</f>
        <v>0</v>
      </c>
      <c r="AK28" s="32">
        <f>IF(AK$2=Assumptions!$C$50,(AL17*12/Assumptions!$C$51)*(1-Assumptions!$C$52),0)</f>
        <v>0</v>
      </c>
      <c r="AL28" s="32">
        <f>IF(AL$2=Assumptions!$C$50,(AM17*12/Assumptions!$C$51)*(1-Assumptions!$C$52),0)</f>
        <v>0</v>
      </c>
      <c r="AM28" s="32">
        <f>IF(AM$2=Assumptions!$C$50,(AN17*12/Assumptions!$C$51)*(1-Assumptions!$C$52),0)</f>
        <v>0</v>
      </c>
      <c r="AN28" s="32">
        <f>IF(AN$2=Assumptions!$C$50,(AO17*12/Assumptions!$C$51)*(1-Assumptions!$C$52),0)</f>
        <v>0</v>
      </c>
      <c r="AO28" s="32">
        <f>IF(AO$2=Assumptions!$C$50,(AP17*12/Assumptions!$C$51)*(1-Assumptions!$C$52),0)</f>
        <v>0</v>
      </c>
      <c r="AP28" s="32">
        <f>IF(AP$2=Assumptions!$C$50,(AQ17*12/Assumptions!$C$51)*(1-Assumptions!$C$52),0)</f>
        <v>0</v>
      </c>
      <c r="AQ28" s="32">
        <f>IF(AQ$2=Assumptions!$C$50,(AR17*12/Assumptions!$C$51)*(1-Assumptions!$C$52),0)</f>
        <v>0</v>
      </c>
      <c r="AR28" s="32">
        <f>IF(AR$2=Assumptions!$C$50,(AS17*12/Assumptions!$C$51)*(1-Assumptions!$C$52),0)</f>
        <v>0</v>
      </c>
      <c r="AS28" s="32">
        <f>IF(AS$2=Assumptions!$C$50,(AT17*12/Assumptions!$C$51)*(1-Assumptions!$C$52),0)</f>
        <v>0</v>
      </c>
      <c r="AT28" s="32">
        <f>IF(AT$2=Assumptions!$C$50,(AU17*12/Assumptions!$C$51)*(1-Assumptions!$C$52),0)</f>
        <v>0</v>
      </c>
      <c r="AU28" s="32">
        <f>IF(AU$2=Assumptions!$C$50,(AV17*12/Assumptions!$C$51)*(1-Assumptions!$C$52),0)</f>
        <v>0</v>
      </c>
      <c r="AV28" s="32">
        <f>IF(AV$2=Assumptions!$C$50,(AW17*12/Assumptions!$C$51)*(1-Assumptions!$C$52),0)</f>
        <v>0</v>
      </c>
      <c r="AW28" s="32">
        <f>IF(AW$2=Assumptions!$C$50,(AX17*12/Assumptions!$C$51)*(1-Assumptions!$C$52),0)</f>
        <v>0</v>
      </c>
      <c r="AX28" s="32">
        <f>IF(AX$2=Assumptions!$C$50,(AY17*12/Assumptions!$C$51)*(1-Assumptions!$C$52),0)</f>
        <v>0</v>
      </c>
      <c r="AY28" s="32">
        <f>IF(AY$2=Assumptions!$C$50,(AZ17*12/Assumptions!$C$51)*(1-Assumptions!$C$52),0)</f>
        <v>0</v>
      </c>
      <c r="AZ28" s="32">
        <f>IF(AZ$2=Assumptions!$C$50,(BA17*12/Assumptions!$C$51)*(1-Assumptions!$C$52),0)</f>
        <v>0</v>
      </c>
      <c r="BA28" s="32">
        <f>IF(BA$2=Assumptions!$C$50,(BB17*12/Assumptions!$C$51)*(1-Assumptions!$C$52),0)</f>
        <v>0</v>
      </c>
      <c r="BB28" s="32">
        <f>IF(BB$2=Assumptions!$C$50,(BC17*12/Assumptions!$C$51)*(1-Assumptions!$C$52),0)</f>
        <v>0</v>
      </c>
      <c r="BC28" s="32">
        <f>IF(BC$2=Assumptions!$C$50,(BD17*12/Assumptions!$C$51)*(1-Assumptions!$C$52),0)</f>
        <v>0</v>
      </c>
      <c r="BD28" s="32">
        <f>IF(BD$2=Assumptions!$C$50,(BE17*12/Assumptions!$C$51)*(1-Assumptions!$C$52),0)</f>
        <v>0</v>
      </c>
      <c r="BE28" s="32">
        <f>IF(BE$2=Assumptions!$C$50,(BF17*12/Assumptions!$C$51)*(1-Assumptions!$C$52),0)</f>
        <v>0</v>
      </c>
      <c r="BF28" s="32">
        <f>IF(BF$2=Assumptions!$C$50,(BG17*12/Assumptions!$C$51)*(1-Assumptions!$C$52),0)</f>
        <v>0</v>
      </c>
      <c r="BG28" s="32">
        <f>IF(BG$2=Assumptions!$C$50,(BH17*12/Assumptions!$C$51)*(1-Assumptions!$C$52),0)</f>
        <v>0</v>
      </c>
      <c r="BH28" s="32">
        <f>IF(BH$2=Assumptions!$C$50,(BI17*12/Assumptions!$C$51)*(1-Assumptions!$C$52),0)</f>
        <v>0</v>
      </c>
      <c r="BI28" s="32">
        <f>IF(BI$2=Assumptions!$C$50,(BJ17*12/Assumptions!$C$51)*(1-Assumptions!$C$52),0)</f>
        <v>0</v>
      </c>
      <c r="BJ28" s="32">
        <f>IF(BJ$2=Assumptions!$C$50,(BK17*12/Assumptions!$C$51)*(1-Assumptions!$C$52),0)</f>
        <v>0</v>
      </c>
      <c r="BK28" s="32">
        <f>IF(BK$2=Assumptions!$C$50,(BL17*12/Assumptions!$C$51)*(1-Assumptions!$C$52),0)</f>
        <v>13131348.271543372</v>
      </c>
    </row>
    <row r="30" spans="2:64" x14ac:dyDescent="0.2">
      <c r="B30" s="4" t="s">
        <v>159</v>
      </c>
      <c r="C30" s="34">
        <f t="shared" ref="C30:AH30" si="12">SUM(C17,C24,C27,C28)</f>
        <v>-11016000</v>
      </c>
      <c r="D30" s="34">
        <f t="shared" si="12"/>
        <v>-309286.97083333333</v>
      </c>
      <c r="E30" s="34">
        <f t="shared" si="12"/>
        <v>-309286.97083333333</v>
      </c>
      <c r="F30" s="34">
        <f t="shared" si="12"/>
        <v>-309286.97083333333</v>
      </c>
      <c r="G30" s="34">
        <f t="shared" si="12"/>
        <v>-309286.97083333333</v>
      </c>
      <c r="H30" s="34">
        <f t="shared" si="12"/>
        <v>-309286.97083333333</v>
      </c>
      <c r="I30" s="34">
        <f t="shared" si="12"/>
        <v>-309286.97083333333</v>
      </c>
      <c r="J30" s="34">
        <f t="shared" si="12"/>
        <v>-15211.137500000001</v>
      </c>
      <c r="K30" s="34">
        <f t="shared" si="12"/>
        <v>-15211.137500000001</v>
      </c>
      <c r="L30" s="34">
        <f t="shared" si="12"/>
        <v>-15211.137500000001</v>
      </c>
      <c r="M30" s="34">
        <f t="shared" si="12"/>
        <v>-15211.137500000001</v>
      </c>
      <c r="N30" s="34">
        <f t="shared" si="12"/>
        <v>-15211.137500000001</v>
      </c>
      <c r="O30" s="34">
        <f t="shared" si="12"/>
        <v>-15211.137500000001</v>
      </c>
      <c r="P30" s="34">
        <f t="shared" si="12"/>
        <v>-514437.51874999999</v>
      </c>
      <c r="Q30" s="34">
        <f t="shared" si="12"/>
        <v>-1141.5187500000004</v>
      </c>
      <c r="R30" s="34">
        <f t="shared" si="12"/>
        <v>-1141.5187500000004</v>
      </c>
      <c r="S30" s="34">
        <f t="shared" si="12"/>
        <v>57887.521250000005</v>
      </c>
      <c r="T30" s="34">
        <f t="shared" si="12"/>
        <v>57887.521250000005</v>
      </c>
      <c r="U30" s="34">
        <f t="shared" si="12"/>
        <v>57887.521250000005</v>
      </c>
      <c r="V30" s="34">
        <f t="shared" si="12"/>
        <v>57887.521250000005</v>
      </c>
      <c r="W30" s="34">
        <f t="shared" si="12"/>
        <v>57887.521250000005</v>
      </c>
      <c r="X30" s="34">
        <f t="shared" si="12"/>
        <v>57887.521250000005</v>
      </c>
      <c r="Y30" s="34">
        <f t="shared" si="12"/>
        <v>57887.521250000005</v>
      </c>
      <c r="Z30" s="34">
        <f t="shared" si="12"/>
        <v>57887.521250000005</v>
      </c>
      <c r="AA30" s="34">
        <f t="shared" si="12"/>
        <v>57887.521250000005</v>
      </c>
      <c r="AB30" s="34">
        <f t="shared" si="12"/>
        <v>59953.537649999998</v>
      </c>
      <c r="AC30" s="34">
        <f t="shared" si="12"/>
        <v>59953.537649999998</v>
      </c>
      <c r="AD30" s="34">
        <f t="shared" si="12"/>
        <v>59953.537649999998</v>
      </c>
      <c r="AE30" s="34">
        <f t="shared" si="12"/>
        <v>59953.537649999998</v>
      </c>
      <c r="AF30" s="34">
        <f t="shared" si="12"/>
        <v>59953.537649999998</v>
      </c>
      <c r="AG30" s="34">
        <f t="shared" si="12"/>
        <v>59953.537649999998</v>
      </c>
      <c r="AH30" s="34">
        <f t="shared" si="12"/>
        <v>59953.537649999998</v>
      </c>
      <c r="AI30" s="34">
        <f t="shared" ref="AI30:BK30" si="13">SUM(AI17,AI24,AI27,AI28)</f>
        <v>59953.537649999998</v>
      </c>
      <c r="AJ30" s="34">
        <f t="shared" si="13"/>
        <v>59953.537649999998</v>
      </c>
      <c r="AK30" s="34">
        <f t="shared" si="13"/>
        <v>59953.537649999998</v>
      </c>
      <c r="AL30" s="34">
        <f t="shared" si="13"/>
        <v>59953.537649999998</v>
      </c>
      <c r="AM30" s="34">
        <f t="shared" si="13"/>
        <v>59953.537649999998</v>
      </c>
      <c r="AN30" s="34">
        <f t="shared" si="13"/>
        <v>62091.86462399998</v>
      </c>
      <c r="AO30" s="34">
        <f t="shared" si="13"/>
        <v>62091.86462399998</v>
      </c>
      <c r="AP30" s="34">
        <f t="shared" si="13"/>
        <v>62091.86462399998</v>
      </c>
      <c r="AQ30" s="34">
        <f t="shared" si="13"/>
        <v>62091.86462399998</v>
      </c>
      <c r="AR30" s="34">
        <f t="shared" si="13"/>
        <v>62091.86462399998</v>
      </c>
      <c r="AS30" s="34">
        <f t="shared" si="13"/>
        <v>62091.86462399998</v>
      </c>
      <c r="AT30" s="34">
        <f t="shared" si="13"/>
        <v>62091.86462399998</v>
      </c>
      <c r="AU30" s="34">
        <f t="shared" si="13"/>
        <v>62091.86462399998</v>
      </c>
      <c r="AV30" s="34">
        <f t="shared" si="13"/>
        <v>62091.86462399998</v>
      </c>
      <c r="AW30" s="34">
        <f t="shared" si="13"/>
        <v>62091.86462399998</v>
      </c>
      <c r="AX30" s="34">
        <f t="shared" si="13"/>
        <v>62091.86462399998</v>
      </c>
      <c r="AY30" s="34">
        <f t="shared" si="13"/>
        <v>62091.86462399998</v>
      </c>
      <c r="AZ30" s="34">
        <f t="shared" si="13"/>
        <v>64305.033042089977</v>
      </c>
      <c r="BA30" s="34">
        <f t="shared" si="13"/>
        <v>64305.033042089977</v>
      </c>
      <c r="BB30" s="34">
        <f t="shared" si="13"/>
        <v>64305.033042089977</v>
      </c>
      <c r="BC30" s="34">
        <f t="shared" si="13"/>
        <v>64305.033042089977</v>
      </c>
      <c r="BD30" s="34">
        <f t="shared" si="13"/>
        <v>64305.033042089977</v>
      </c>
      <c r="BE30" s="34">
        <f t="shared" si="13"/>
        <v>64305.033042089977</v>
      </c>
      <c r="BF30" s="34">
        <f t="shared" si="13"/>
        <v>64305.033042089977</v>
      </c>
      <c r="BG30" s="34">
        <f t="shared" si="13"/>
        <v>64305.033042089977</v>
      </c>
      <c r="BH30" s="34">
        <f t="shared" si="13"/>
        <v>64305.033042089977</v>
      </c>
      <c r="BI30" s="34">
        <f t="shared" si="13"/>
        <v>64305.033042089977</v>
      </c>
      <c r="BJ30" s="34">
        <f t="shared" si="13"/>
        <v>64305.033042089977</v>
      </c>
      <c r="BK30" s="34">
        <f t="shared" si="13"/>
        <v>13195653.304585462</v>
      </c>
      <c r="BL30" s="33"/>
    </row>
    <row r="32" spans="2:64" x14ac:dyDescent="0.2">
      <c r="B32" s="4" t="s">
        <v>64</v>
      </c>
    </row>
    <row r="33" spans="2:64" x14ac:dyDescent="0.2">
      <c r="B33" s="16" t="s">
        <v>160</v>
      </c>
      <c r="C33" s="32">
        <f>'Sources and Uses'!C15</f>
        <v>7409309.8750000009</v>
      </c>
    </row>
    <row r="34" spans="2:64" x14ac:dyDescent="0.2">
      <c r="B34" s="16" t="s">
        <v>161</v>
      </c>
      <c r="C34" s="32">
        <f>-'Sources and Uses'!C11</f>
        <v>-74093.098750000005</v>
      </c>
    </row>
    <row r="35" spans="2:64" x14ac:dyDescent="0.2">
      <c r="B35" s="16" t="s">
        <v>162</v>
      </c>
      <c r="D35" s="32">
        <f>IF(D$2&lt;=Assumptions!$C$50,-'Sources and Uses'!$C$15*Assumptions!$C$45/12,0)</f>
        <v>-38590.155598958336</v>
      </c>
      <c r="E35" s="32">
        <f>IF(E$2&lt;=Assumptions!$C$50,-'Sources and Uses'!$C$15*Assumptions!$C$45/12,0)</f>
        <v>-38590.155598958336</v>
      </c>
      <c r="F35" s="32">
        <f>IF(F$2&lt;=Assumptions!$C$50,-'Sources and Uses'!$C$15*Assumptions!$C$45/12,0)</f>
        <v>-38590.155598958336</v>
      </c>
      <c r="G35" s="32">
        <f>IF(G$2&lt;=Assumptions!$C$50,-'Sources and Uses'!$C$15*Assumptions!$C$45/12,0)</f>
        <v>-38590.155598958336</v>
      </c>
      <c r="H35" s="32">
        <f>IF(H$2&lt;=Assumptions!$C$50,-'Sources and Uses'!$C$15*Assumptions!$C$45/12,0)</f>
        <v>-38590.155598958336</v>
      </c>
      <c r="I35" s="32">
        <f>IF(I$2&lt;=Assumptions!$C$50,-'Sources and Uses'!$C$15*Assumptions!$C$45/12,0)</f>
        <v>-38590.155598958336</v>
      </c>
      <c r="J35" s="32">
        <f>IF(J$2&lt;=Assumptions!$C$50,-'Sources and Uses'!$C$15*Assumptions!$C$45/12,0)</f>
        <v>-38590.155598958336</v>
      </c>
      <c r="K35" s="32">
        <f>IF(K$2&lt;=Assumptions!$C$50,-'Sources and Uses'!$C$15*Assumptions!$C$45/12,0)</f>
        <v>-38590.155598958336</v>
      </c>
      <c r="L35" s="32">
        <f>IF(L$2&lt;=Assumptions!$C$50,-'Sources and Uses'!$C$15*Assumptions!$C$45/12,0)</f>
        <v>-38590.155598958336</v>
      </c>
      <c r="M35" s="32">
        <f>IF(M$2&lt;=Assumptions!$C$50,-'Sources and Uses'!$C$15*Assumptions!$C$45/12,0)</f>
        <v>-38590.155598958336</v>
      </c>
      <c r="N35" s="32">
        <f>IF(N$2&lt;=Assumptions!$C$50,-'Sources and Uses'!$C$15*Assumptions!$C$45/12,0)</f>
        <v>-38590.155598958336</v>
      </c>
      <c r="O35" s="32">
        <f>IF(O$2&lt;=Assumptions!$C$50,-'Sources and Uses'!$C$15*Assumptions!$C$45/12,0)</f>
        <v>-38590.155598958336</v>
      </c>
      <c r="P35" s="32">
        <f>IF(P$2&lt;=Assumptions!$C$50,-'Sources and Uses'!$C$15*Assumptions!$C$45/12,0)</f>
        <v>-38590.155598958336</v>
      </c>
      <c r="Q35" s="32">
        <f>IF(Q$2&lt;=Assumptions!$C$50,-'Sources and Uses'!$C$15*Assumptions!$C$45/12,0)</f>
        <v>-38590.155598958336</v>
      </c>
      <c r="R35" s="32">
        <f>IF(R$2&lt;=Assumptions!$C$50,-'Sources and Uses'!$C$15*Assumptions!$C$45/12,0)</f>
        <v>-38590.155598958336</v>
      </c>
      <c r="S35" s="32">
        <f>IF(S$2&lt;=Assumptions!$C$50,-'Sources and Uses'!$C$15*Assumptions!$C$45/12,0)</f>
        <v>-38590.155598958336</v>
      </c>
      <c r="T35" s="32">
        <f>IF(T$2&lt;=Assumptions!$C$50,-'Sources and Uses'!$C$15*Assumptions!$C$45/12,0)</f>
        <v>-38590.155598958336</v>
      </c>
      <c r="U35" s="32">
        <f>IF(U$2&lt;=Assumptions!$C$50,-'Sources and Uses'!$C$15*Assumptions!$C$45/12,0)</f>
        <v>-38590.155598958336</v>
      </c>
      <c r="V35" s="32">
        <f>IF(V$2&lt;=Assumptions!$C$50,-'Sources and Uses'!$C$15*Assumptions!$C$45/12,0)</f>
        <v>-38590.155598958336</v>
      </c>
      <c r="W35" s="32">
        <f>IF(W$2&lt;=Assumptions!$C$50,-'Sources and Uses'!$C$15*Assumptions!$C$45/12,0)</f>
        <v>-38590.155598958336</v>
      </c>
      <c r="X35" s="32">
        <f>IF(X$2&lt;=Assumptions!$C$50,-'Sources and Uses'!$C$15*Assumptions!$C$45/12,0)</f>
        <v>-38590.155598958336</v>
      </c>
      <c r="Y35" s="32">
        <f>IF(Y$2&lt;=Assumptions!$C$50,-'Sources and Uses'!$C$15*Assumptions!$C$45/12,0)</f>
        <v>-38590.155598958336</v>
      </c>
      <c r="Z35" s="32">
        <f>IF(Z$2&lt;=Assumptions!$C$50,-'Sources and Uses'!$C$15*Assumptions!$C$45/12,0)</f>
        <v>-38590.155598958336</v>
      </c>
      <c r="AA35" s="32">
        <f>IF(AA$2&lt;=Assumptions!$C$50,-'Sources and Uses'!$C$15*Assumptions!$C$45/12,0)</f>
        <v>-38590.155598958336</v>
      </c>
      <c r="AB35" s="32">
        <f>IF(AB$2&lt;=Assumptions!$C$50,-'Sources and Uses'!$C$15*Assumptions!$C$45/12,0)</f>
        <v>-38590.155598958336</v>
      </c>
      <c r="AC35" s="32">
        <f>IF(AC$2&lt;=Assumptions!$C$50,-'Sources and Uses'!$C$15*Assumptions!$C$45/12,0)</f>
        <v>-38590.155598958336</v>
      </c>
      <c r="AD35" s="32">
        <f>IF(AD$2&lt;=Assumptions!$C$50,-'Sources and Uses'!$C$15*Assumptions!$C$45/12,0)</f>
        <v>-38590.155598958336</v>
      </c>
      <c r="AE35" s="32">
        <f>IF(AE$2&lt;=Assumptions!$C$50,-'Sources and Uses'!$C$15*Assumptions!$C$45/12,0)</f>
        <v>-38590.155598958336</v>
      </c>
      <c r="AF35" s="32">
        <f>IF(AF$2&lt;=Assumptions!$C$50,-'Sources and Uses'!$C$15*Assumptions!$C$45/12,0)</f>
        <v>-38590.155598958336</v>
      </c>
      <c r="AG35" s="32">
        <f>IF(AG$2&lt;=Assumptions!$C$50,-'Sources and Uses'!$C$15*Assumptions!$C$45/12,0)</f>
        <v>-38590.155598958336</v>
      </c>
      <c r="AH35" s="32">
        <f>IF(AH$2&lt;=Assumptions!$C$50,-'Sources and Uses'!$C$15*Assumptions!$C$45/12,0)</f>
        <v>-38590.155598958336</v>
      </c>
      <c r="AI35" s="32">
        <f>IF(AI$2&lt;=Assumptions!$C$50,-'Sources and Uses'!$C$15*Assumptions!$C$45/12,0)</f>
        <v>-38590.155598958336</v>
      </c>
      <c r="AJ35" s="32">
        <f>IF(AJ$2&lt;=Assumptions!$C$50,-'Sources and Uses'!$C$15*Assumptions!$C$45/12,0)</f>
        <v>-38590.155598958336</v>
      </c>
      <c r="AK35" s="32">
        <f>IF(AK$2&lt;=Assumptions!$C$50,-'Sources and Uses'!$C$15*Assumptions!$C$45/12,0)</f>
        <v>-38590.155598958336</v>
      </c>
      <c r="AL35" s="32">
        <f>IF(AL$2&lt;=Assumptions!$C$50,-'Sources and Uses'!$C$15*Assumptions!$C$45/12,0)</f>
        <v>-38590.155598958336</v>
      </c>
      <c r="AM35" s="32">
        <f>IF(AM$2&lt;=Assumptions!$C$50,-'Sources and Uses'!$C$15*Assumptions!$C$45/12,0)</f>
        <v>-38590.155598958336</v>
      </c>
      <c r="AN35" s="32">
        <f>IF(AN$2&lt;=Assumptions!$C$50,-'Sources and Uses'!$C$15*Assumptions!$C$45/12,0)</f>
        <v>-38590.155598958336</v>
      </c>
      <c r="AO35" s="32">
        <f>IF(AO$2&lt;=Assumptions!$C$50,-'Sources and Uses'!$C$15*Assumptions!$C$45/12,0)</f>
        <v>-38590.155598958336</v>
      </c>
      <c r="AP35" s="32">
        <f>IF(AP$2&lt;=Assumptions!$C$50,-'Sources and Uses'!$C$15*Assumptions!$C$45/12,0)</f>
        <v>-38590.155598958336</v>
      </c>
      <c r="AQ35" s="32">
        <f>IF(AQ$2&lt;=Assumptions!$C$50,-'Sources and Uses'!$C$15*Assumptions!$C$45/12,0)</f>
        <v>-38590.155598958336</v>
      </c>
      <c r="AR35" s="32">
        <f>IF(AR$2&lt;=Assumptions!$C$50,-'Sources and Uses'!$C$15*Assumptions!$C$45/12,0)</f>
        <v>-38590.155598958336</v>
      </c>
      <c r="AS35" s="32">
        <f>IF(AS$2&lt;=Assumptions!$C$50,-'Sources and Uses'!$C$15*Assumptions!$C$45/12,0)</f>
        <v>-38590.155598958336</v>
      </c>
      <c r="AT35" s="32">
        <f>IF(AT$2&lt;=Assumptions!$C$50,-'Sources and Uses'!$C$15*Assumptions!$C$45/12,0)</f>
        <v>-38590.155598958336</v>
      </c>
      <c r="AU35" s="32">
        <f>IF(AU$2&lt;=Assumptions!$C$50,-'Sources and Uses'!$C$15*Assumptions!$C$45/12,0)</f>
        <v>-38590.155598958336</v>
      </c>
      <c r="AV35" s="32">
        <f>IF(AV$2&lt;=Assumptions!$C$50,-'Sources and Uses'!$C$15*Assumptions!$C$45/12,0)</f>
        <v>-38590.155598958336</v>
      </c>
      <c r="AW35" s="32">
        <f>IF(AW$2&lt;=Assumptions!$C$50,-'Sources and Uses'!$C$15*Assumptions!$C$45/12,0)</f>
        <v>-38590.155598958336</v>
      </c>
      <c r="AX35" s="32">
        <f>IF(AX$2&lt;=Assumptions!$C$50,-'Sources and Uses'!$C$15*Assumptions!$C$45/12,0)</f>
        <v>-38590.155598958336</v>
      </c>
      <c r="AY35" s="32">
        <f>IF(AY$2&lt;=Assumptions!$C$50,-'Sources and Uses'!$C$15*Assumptions!$C$45/12,0)</f>
        <v>-38590.155598958336</v>
      </c>
      <c r="AZ35" s="32">
        <f>IF(AZ$2&lt;=Assumptions!$C$50,-'Sources and Uses'!$C$15*Assumptions!$C$45/12,0)</f>
        <v>-38590.155598958336</v>
      </c>
      <c r="BA35" s="32">
        <f>IF(BA$2&lt;=Assumptions!$C$50,-'Sources and Uses'!$C$15*Assumptions!$C$45/12,0)</f>
        <v>-38590.155598958336</v>
      </c>
      <c r="BB35" s="32">
        <f>IF(BB$2&lt;=Assumptions!$C$50,-'Sources and Uses'!$C$15*Assumptions!$C$45/12,0)</f>
        <v>-38590.155598958336</v>
      </c>
      <c r="BC35" s="32">
        <f>IF(BC$2&lt;=Assumptions!$C$50,-'Sources and Uses'!$C$15*Assumptions!$C$45/12,0)</f>
        <v>-38590.155598958336</v>
      </c>
      <c r="BD35" s="32">
        <f>IF(BD$2&lt;=Assumptions!$C$50,-'Sources and Uses'!$C$15*Assumptions!$C$45/12,0)</f>
        <v>-38590.155598958336</v>
      </c>
      <c r="BE35" s="32">
        <f>IF(BE$2&lt;=Assumptions!$C$50,-'Sources and Uses'!$C$15*Assumptions!$C$45/12,0)</f>
        <v>-38590.155598958336</v>
      </c>
      <c r="BF35" s="32">
        <f>IF(BF$2&lt;=Assumptions!$C$50,-'Sources and Uses'!$C$15*Assumptions!$C$45/12,0)</f>
        <v>-38590.155598958336</v>
      </c>
      <c r="BG35" s="32">
        <f>IF(BG$2&lt;=Assumptions!$C$50,-'Sources and Uses'!$C$15*Assumptions!$C$45/12,0)</f>
        <v>-38590.155598958336</v>
      </c>
      <c r="BH35" s="32">
        <f>IF(BH$2&lt;=Assumptions!$C$50,-'Sources and Uses'!$C$15*Assumptions!$C$45/12,0)</f>
        <v>-38590.155598958336</v>
      </c>
      <c r="BI35" s="32">
        <f>IF(BI$2&lt;=Assumptions!$C$50,-'Sources and Uses'!$C$15*Assumptions!$C$45/12,0)</f>
        <v>-38590.155598958336</v>
      </c>
      <c r="BJ35" s="32">
        <f>IF(BJ$2&lt;=Assumptions!$C$50,-'Sources and Uses'!$C$15*Assumptions!$C$45/12,0)</f>
        <v>-38590.155598958336</v>
      </c>
      <c r="BK35" s="32">
        <f>IF(BK$2&lt;=Assumptions!$C$50,-'Sources and Uses'!$C$15*Assumptions!$C$45/12,0)</f>
        <v>-38590.155598958336</v>
      </c>
    </row>
    <row r="36" spans="2:64" x14ac:dyDescent="0.2">
      <c r="B36" s="16" t="s">
        <v>163</v>
      </c>
      <c r="D36" s="32">
        <f>IF(D$2=Assumptions!$C$50,-'Sources and Uses'!$C$15,0)</f>
        <v>0</v>
      </c>
      <c r="E36" s="32">
        <f>IF(E$2=Assumptions!$C$50,-'Sources and Uses'!$C$15,0)</f>
        <v>0</v>
      </c>
      <c r="F36" s="32">
        <f>IF(F$2=Assumptions!$C$50,-'Sources and Uses'!$C$15,0)</f>
        <v>0</v>
      </c>
      <c r="G36" s="32">
        <f>IF(G$2=Assumptions!$C$50,-'Sources and Uses'!$C$15,0)</f>
        <v>0</v>
      </c>
      <c r="H36" s="32">
        <f>IF(H$2=Assumptions!$C$50,-'Sources and Uses'!$C$15,0)</f>
        <v>0</v>
      </c>
      <c r="I36" s="32">
        <f>IF(I$2=Assumptions!$C$50,-'Sources and Uses'!$C$15,0)</f>
        <v>0</v>
      </c>
      <c r="J36" s="32">
        <f>IF(J$2=Assumptions!$C$50,-'Sources and Uses'!$C$15,0)</f>
        <v>0</v>
      </c>
      <c r="K36" s="32">
        <f>IF(K$2=Assumptions!$C$50,-'Sources and Uses'!$C$15,0)</f>
        <v>0</v>
      </c>
      <c r="L36" s="32">
        <f>IF(L$2=Assumptions!$C$50,-'Sources and Uses'!$C$15,0)</f>
        <v>0</v>
      </c>
      <c r="M36" s="32">
        <f>IF(M$2=Assumptions!$C$50,-'Sources and Uses'!$C$15,0)</f>
        <v>0</v>
      </c>
      <c r="N36" s="32">
        <f>IF(N$2=Assumptions!$C$50,-'Sources and Uses'!$C$15,0)</f>
        <v>0</v>
      </c>
      <c r="O36" s="32">
        <f>IF(O$2=Assumptions!$C$50,-'Sources and Uses'!$C$15,0)</f>
        <v>0</v>
      </c>
      <c r="P36" s="32">
        <f>IF(P$2=Assumptions!$C$50,-'Sources and Uses'!$C$15,0)</f>
        <v>0</v>
      </c>
      <c r="Q36" s="32">
        <f>IF(Q$2=Assumptions!$C$50,-'Sources and Uses'!$C$15,0)</f>
        <v>0</v>
      </c>
      <c r="R36" s="32">
        <f>IF(R$2=Assumptions!$C$50,-'Sources and Uses'!$C$15,0)</f>
        <v>0</v>
      </c>
      <c r="S36" s="32">
        <f>IF(S$2=Assumptions!$C$50,-'Sources and Uses'!$C$15,0)</f>
        <v>0</v>
      </c>
      <c r="T36" s="32">
        <f>IF(T$2=Assumptions!$C$50,-'Sources and Uses'!$C$15,0)</f>
        <v>0</v>
      </c>
      <c r="U36" s="32">
        <f>IF(U$2=Assumptions!$C$50,-'Sources and Uses'!$C$15,0)</f>
        <v>0</v>
      </c>
      <c r="V36" s="32">
        <f>IF(V$2=Assumptions!$C$50,-'Sources and Uses'!$C$15,0)</f>
        <v>0</v>
      </c>
      <c r="W36" s="32">
        <f>IF(W$2=Assumptions!$C$50,-'Sources and Uses'!$C$15,0)</f>
        <v>0</v>
      </c>
      <c r="X36" s="32">
        <f>IF(X$2=Assumptions!$C$50,-'Sources and Uses'!$C$15,0)</f>
        <v>0</v>
      </c>
      <c r="Y36" s="32">
        <f>IF(Y$2=Assumptions!$C$50,-'Sources and Uses'!$C$15,0)</f>
        <v>0</v>
      </c>
      <c r="Z36" s="32">
        <f>IF(Z$2=Assumptions!$C$50,-'Sources and Uses'!$C$15,0)</f>
        <v>0</v>
      </c>
      <c r="AA36" s="32">
        <f>IF(AA$2=Assumptions!$C$50,-'Sources and Uses'!$C$15,0)</f>
        <v>0</v>
      </c>
      <c r="AB36" s="32">
        <f>IF(AB$2=Assumptions!$C$50,-'Sources and Uses'!$C$15,0)</f>
        <v>0</v>
      </c>
      <c r="AC36" s="32">
        <f>IF(AC$2=Assumptions!$C$50,-'Sources and Uses'!$C$15,0)</f>
        <v>0</v>
      </c>
      <c r="AD36" s="32">
        <f>IF(AD$2=Assumptions!$C$50,-'Sources and Uses'!$C$15,0)</f>
        <v>0</v>
      </c>
      <c r="AE36" s="32">
        <f>IF(AE$2=Assumptions!$C$50,-'Sources and Uses'!$C$15,0)</f>
        <v>0</v>
      </c>
      <c r="AF36" s="32">
        <f>IF(AF$2=Assumptions!$C$50,-'Sources and Uses'!$C$15,0)</f>
        <v>0</v>
      </c>
      <c r="AG36" s="32">
        <f>IF(AG$2=Assumptions!$C$50,-'Sources and Uses'!$C$15,0)</f>
        <v>0</v>
      </c>
      <c r="AH36" s="32">
        <f>IF(AH$2=Assumptions!$C$50,-'Sources and Uses'!$C$15,0)</f>
        <v>0</v>
      </c>
      <c r="AI36" s="32">
        <f>IF(AI$2=Assumptions!$C$50,-'Sources and Uses'!$C$15,0)</f>
        <v>0</v>
      </c>
      <c r="AJ36" s="32">
        <f>IF(AJ$2=Assumptions!$C$50,-'Sources and Uses'!$C$15,0)</f>
        <v>0</v>
      </c>
      <c r="AK36" s="32">
        <f>IF(AK$2=Assumptions!$C$50,-'Sources and Uses'!$C$15,0)</f>
        <v>0</v>
      </c>
      <c r="AL36" s="32">
        <f>IF(AL$2=Assumptions!$C$50,-'Sources and Uses'!$C$15,0)</f>
        <v>0</v>
      </c>
      <c r="AM36" s="32">
        <f>IF(AM$2=Assumptions!$C$50,-'Sources and Uses'!$C$15,0)</f>
        <v>0</v>
      </c>
      <c r="AN36" s="32">
        <f>IF(AN$2=Assumptions!$C$50,-'Sources and Uses'!$C$15,0)</f>
        <v>0</v>
      </c>
      <c r="AO36" s="32">
        <f>IF(AO$2=Assumptions!$C$50,-'Sources and Uses'!$C$15,0)</f>
        <v>0</v>
      </c>
      <c r="AP36" s="32">
        <f>IF(AP$2=Assumptions!$C$50,-'Sources and Uses'!$C$15,0)</f>
        <v>0</v>
      </c>
      <c r="AQ36" s="32">
        <f>IF(AQ$2=Assumptions!$C$50,-'Sources and Uses'!$C$15,0)</f>
        <v>0</v>
      </c>
      <c r="AR36" s="32">
        <f>IF(AR$2=Assumptions!$C$50,-'Sources and Uses'!$C$15,0)</f>
        <v>0</v>
      </c>
      <c r="AS36" s="32">
        <f>IF(AS$2=Assumptions!$C$50,-'Sources and Uses'!$C$15,0)</f>
        <v>0</v>
      </c>
      <c r="AT36" s="32">
        <f>IF(AT$2=Assumptions!$C$50,-'Sources and Uses'!$C$15,0)</f>
        <v>0</v>
      </c>
      <c r="AU36" s="32">
        <f>IF(AU$2=Assumptions!$C$50,-'Sources and Uses'!$C$15,0)</f>
        <v>0</v>
      </c>
      <c r="AV36" s="32">
        <f>IF(AV$2=Assumptions!$C$50,-'Sources and Uses'!$C$15,0)</f>
        <v>0</v>
      </c>
      <c r="AW36" s="32">
        <f>IF(AW$2=Assumptions!$C$50,-'Sources and Uses'!$C$15,0)</f>
        <v>0</v>
      </c>
      <c r="AX36" s="32">
        <f>IF(AX$2=Assumptions!$C$50,-'Sources and Uses'!$C$15,0)</f>
        <v>0</v>
      </c>
      <c r="AY36" s="32">
        <f>IF(AY$2=Assumptions!$C$50,-'Sources and Uses'!$C$15,0)</f>
        <v>0</v>
      </c>
      <c r="AZ36" s="32">
        <f>IF(AZ$2=Assumptions!$C$50,-'Sources and Uses'!$C$15,0)</f>
        <v>0</v>
      </c>
      <c r="BA36" s="32">
        <f>IF(BA$2=Assumptions!$C$50,-'Sources and Uses'!$C$15,0)</f>
        <v>0</v>
      </c>
      <c r="BB36" s="32">
        <f>IF(BB$2=Assumptions!$C$50,-'Sources and Uses'!$C$15,0)</f>
        <v>0</v>
      </c>
      <c r="BC36" s="32">
        <f>IF(BC$2=Assumptions!$C$50,-'Sources and Uses'!$C$15,0)</f>
        <v>0</v>
      </c>
      <c r="BD36" s="32">
        <f>IF(BD$2=Assumptions!$C$50,-'Sources and Uses'!$C$15,0)</f>
        <v>0</v>
      </c>
      <c r="BE36" s="32">
        <f>IF(BE$2=Assumptions!$C$50,-'Sources and Uses'!$C$15,0)</f>
        <v>0</v>
      </c>
      <c r="BF36" s="32">
        <f>IF(BF$2=Assumptions!$C$50,-'Sources and Uses'!$C$15,0)</f>
        <v>0</v>
      </c>
      <c r="BG36" s="32">
        <f>IF(BG$2=Assumptions!$C$50,-'Sources and Uses'!$C$15,0)</f>
        <v>0</v>
      </c>
      <c r="BH36" s="32">
        <f>IF(BH$2=Assumptions!$C$50,-'Sources and Uses'!$C$15,0)</f>
        <v>0</v>
      </c>
      <c r="BI36" s="32">
        <f>IF(BI$2=Assumptions!$C$50,-'Sources and Uses'!$C$15,0)</f>
        <v>0</v>
      </c>
      <c r="BJ36" s="32">
        <f>IF(BJ$2=Assumptions!$C$50,-'Sources and Uses'!$C$15,0)</f>
        <v>0</v>
      </c>
      <c r="BK36" s="32">
        <f>IF(BK$2=Assumptions!$C$50,-'Sources and Uses'!$C$15,0)</f>
        <v>-7409309.8750000009</v>
      </c>
    </row>
    <row r="38" spans="2:64" x14ac:dyDescent="0.2">
      <c r="B38" s="4" t="s">
        <v>164</v>
      </c>
      <c r="C38" s="34">
        <f t="shared" ref="C38:AH38" si="14">C30+C33+C34+C35+C36</f>
        <v>-3680783.223749999</v>
      </c>
      <c r="D38" s="34">
        <f t="shared" si="14"/>
        <v>-347877.12643229164</v>
      </c>
      <c r="E38" s="34">
        <f t="shared" si="14"/>
        <v>-347877.12643229164</v>
      </c>
      <c r="F38" s="34">
        <f t="shared" si="14"/>
        <v>-347877.12643229164</v>
      </c>
      <c r="G38" s="34">
        <f t="shared" si="14"/>
        <v>-347877.12643229164</v>
      </c>
      <c r="H38" s="34">
        <f t="shared" si="14"/>
        <v>-347877.12643229164</v>
      </c>
      <c r="I38" s="34">
        <f t="shared" si="14"/>
        <v>-347877.12643229164</v>
      </c>
      <c r="J38" s="34">
        <f t="shared" si="14"/>
        <v>-53801.29309895834</v>
      </c>
      <c r="K38" s="34">
        <f t="shared" si="14"/>
        <v>-53801.29309895834</v>
      </c>
      <c r="L38" s="34">
        <f t="shared" si="14"/>
        <v>-53801.29309895834</v>
      </c>
      <c r="M38" s="34">
        <f t="shared" si="14"/>
        <v>-53801.29309895834</v>
      </c>
      <c r="N38" s="34">
        <f t="shared" si="14"/>
        <v>-53801.29309895834</v>
      </c>
      <c r="O38" s="34">
        <f t="shared" si="14"/>
        <v>-53801.29309895834</v>
      </c>
      <c r="P38" s="34">
        <f t="shared" si="14"/>
        <v>-553027.6743489583</v>
      </c>
      <c r="Q38" s="34">
        <f t="shared" si="14"/>
        <v>-39731.674348958339</v>
      </c>
      <c r="R38" s="34">
        <f t="shared" si="14"/>
        <v>-39731.674348958339</v>
      </c>
      <c r="S38" s="34">
        <f t="shared" si="14"/>
        <v>19297.365651041669</v>
      </c>
      <c r="T38" s="34">
        <f t="shared" si="14"/>
        <v>19297.365651041669</v>
      </c>
      <c r="U38" s="34">
        <f t="shared" si="14"/>
        <v>19297.365651041669</v>
      </c>
      <c r="V38" s="34">
        <f t="shared" si="14"/>
        <v>19297.365651041669</v>
      </c>
      <c r="W38" s="34">
        <f t="shared" si="14"/>
        <v>19297.365651041669</v>
      </c>
      <c r="X38" s="34">
        <f t="shared" si="14"/>
        <v>19297.365651041669</v>
      </c>
      <c r="Y38" s="34">
        <f t="shared" si="14"/>
        <v>19297.365651041669</v>
      </c>
      <c r="Z38" s="34">
        <f t="shared" si="14"/>
        <v>19297.365651041669</v>
      </c>
      <c r="AA38" s="34">
        <f t="shared" si="14"/>
        <v>19297.365651041669</v>
      </c>
      <c r="AB38" s="34">
        <f t="shared" si="14"/>
        <v>21363.382051041663</v>
      </c>
      <c r="AC38" s="34">
        <f t="shared" si="14"/>
        <v>21363.382051041663</v>
      </c>
      <c r="AD38" s="34">
        <f t="shared" si="14"/>
        <v>21363.382051041663</v>
      </c>
      <c r="AE38" s="34">
        <f t="shared" si="14"/>
        <v>21363.382051041663</v>
      </c>
      <c r="AF38" s="34">
        <f t="shared" si="14"/>
        <v>21363.382051041663</v>
      </c>
      <c r="AG38" s="34">
        <f t="shared" si="14"/>
        <v>21363.382051041663</v>
      </c>
      <c r="AH38" s="34">
        <f t="shared" si="14"/>
        <v>21363.382051041663</v>
      </c>
      <c r="AI38" s="34">
        <f t="shared" ref="AI38:BK38" si="15">AI30+AI33+AI34+AI35+AI36</f>
        <v>21363.382051041663</v>
      </c>
      <c r="AJ38" s="34">
        <f t="shared" si="15"/>
        <v>21363.382051041663</v>
      </c>
      <c r="AK38" s="34">
        <f t="shared" si="15"/>
        <v>21363.382051041663</v>
      </c>
      <c r="AL38" s="34">
        <f t="shared" si="15"/>
        <v>21363.382051041663</v>
      </c>
      <c r="AM38" s="34">
        <f t="shared" si="15"/>
        <v>21363.382051041663</v>
      </c>
      <c r="AN38" s="34">
        <f t="shared" si="15"/>
        <v>23501.709025041644</v>
      </c>
      <c r="AO38" s="34">
        <f t="shared" si="15"/>
        <v>23501.709025041644</v>
      </c>
      <c r="AP38" s="34">
        <f t="shared" si="15"/>
        <v>23501.709025041644</v>
      </c>
      <c r="AQ38" s="34">
        <f t="shared" si="15"/>
        <v>23501.709025041644</v>
      </c>
      <c r="AR38" s="34">
        <f t="shared" si="15"/>
        <v>23501.709025041644</v>
      </c>
      <c r="AS38" s="34">
        <f t="shared" si="15"/>
        <v>23501.709025041644</v>
      </c>
      <c r="AT38" s="34">
        <f t="shared" si="15"/>
        <v>23501.709025041644</v>
      </c>
      <c r="AU38" s="34">
        <f t="shared" si="15"/>
        <v>23501.709025041644</v>
      </c>
      <c r="AV38" s="34">
        <f t="shared" si="15"/>
        <v>23501.709025041644</v>
      </c>
      <c r="AW38" s="34">
        <f t="shared" si="15"/>
        <v>23501.709025041644</v>
      </c>
      <c r="AX38" s="34">
        <f t="shared" si="15"/>
        <v>23501.709025041644</v>
      </c>
      <c r="AY38" s="34">
        <f t="shared" si="15"/>
        <v>23501.709025041644</v>
      </c>
      <c r="AZ38" s="34">
        <f t="shared" si="15"/>
        <v>25714.877443131641</v>
      </c>
      <c r="BA38" s="34">
        <f t="shared" si="15"/>
        <v>25714.877443131641</v>
      </c>
      <c r="BB38" s="34">
        <f t="shared" si="15"/>
        <v>25714.877443131641</v>
      </c>
      <c r="BC38" s="34">
        <f t="shared" si="15"/>
        <v>25714.877443131641</v>
      </c>
      <c r="BD38" s="34">
        <f t="shared" si="15"/>
        <v>25714.877443131641</v>
      </c>
      <c r="BE38" s="34">
        <f t="shared" si="15"/>
        <v>25714.877443131641</v>
      </c>
      <c r="BF38" s="34">
        <f t="shared" si="15"/>
        <v>25714.877443131641</v>
      </c>
      <c r="BG38" s="34">
        <f t="shared" si="15"/>
        <v>25714.877443131641</v>
      </c>
      <c r="BH38" s="34">
        <f t="shared" si="15"/>
        <v>25714.877443131641</v>
      </c>
      <c r="BI38" s="34">
        <f t="shared" si="15"/>
        <v>25714.877443131641</v>
      </c>
      <c r="BJ38" s="34">
        <f t="shared" si="15"/>
        <v>25714.877443131641</v>
      </c>
      <c r="BK38" s="34">
        <f t="shared" si="15"/>
        <v>5747753.2739865026</v>
      </c>
      <c r="BL38" s="33"/>
    </row>
    <row r="40" spans="2:64" x14ac:dyDescent="0.2">
      <c r="B40" s="16" t="s">
        <v>165</v>
      </c>
      <c r="C40" s="32">
        <f>C38</f>
        <v>-3680783.223749999</v>
      </c>
      <c r="D40" s="32">
        <f t="shared" ref="D40:AI40" si="16">C40+D38</f>
        <v>-4028660.3501822907</v>
      </c>
      <c r="E40" s="32">
        <f t="shared" si="16"/>
        <v>-4376537.4766145824</v>
      </c>
      <c r="F40" s="32">
        <f t="shared" si="16"/>
        <v>-4724414.6030468736</v>
      </c>
      <c r="G40" s="32">
        <f t="shared" si="16"/>
        <v>-5072291.7294791648</v>
      </c>
      <c r="H40" s="32">
        <f t="shared" si="16"/>
        <v>-5420168.855911456</v>
      </c>
      <c r="I40" s="32">
        <f t="shared" si="16"/>
        <v>-5768045.9823437473</v>
      </c>
      <c r="J40" s="32">
        <f t="shared" si="16"/>
        <v>-5821847.2754427055</v>
      </c>
      <c r="K40" s="32">
        <f t="shared" si="16"/>
        <v>-5875648.5685416637</v>
      </c>
      <c r="L40" s="32">
        <f t="shared" si="16"/>
        <v>-5929449.8616406219</v>
      </c>
      <c r="M40" s="32">
        <f t="shared" si="16"/>
        <v>-5983251.1547395801</v>
      </c>
      <c r="N40" s="32">
        <f t="shared" si="16"/>
        <v>-6037052.4478385383</v>
      </c>
      <c r="O40" s="32">
        <f t="shared" si="16"/>
        <v>-6090853.7409374965</v>
      </c>
      <c r="P40" s="32">
        <f t="shared" si="16"/>
        <v>-6643881.4152864553</v>
      </c>
      <c r="Q40" s="32">
        <f t="shared" si="16"/>
        <v>-6683613.0896354141</v>
      </c>
      <c r="R40" s="32">
        <f t="shared" si="16"/>
        <v>-6723344.7639843728</v>
      </c>
      <c r="S40" s="32">
        <f t="shared" si="16"/>
        <v>-6704047.3983333316</v>
      </c>
      <c r="T40" s="32">
        <f t="shared" si="16"/>
        <v>-6684750.0326822903</v>
      </c>
      <c r="U40" s="32">
        <f t="shared" si="16"/>
        <v>-6665452.667031249</v>
      </c>
      <c r="V40" s="32">
        <f t="shared" si="16"/>
        <v>-6646155.3013802078</v>
      </c>
      <c r="W40" s="32">
        <f t="shared" si="16"/>
        <v>-6626857.9357291665</v>
      </c>
      <c r="X40" s="32">
        <f t="shared" si="16"/>
        <v>-6607560.5700781252</v>
      </c>
      <c r="Y40" s="32">
        <f t="shared" si="16"/>
        <v>-6588263.204427084</v>
      </c>
      <c r="Z40" s="32">
        <f t="shared" si="16"/>
        <v>-6568965.8387760427</v>
      </c>
      <c r="AA40" s="32">
        <f t="shared" si="16"/>
        <v>-6549668.4731250014</v>
      </c>
      <c r="AB40" s="32">
        <f t="shared" si="16"/>
        <v>-6528305.0910739601</v>
      </c>
      <c r="AC40" s="32">
        <f t="shared" si="16"/>
        <v>-6506941.7090229187</v>
      </c>
      <c r="AD40" s="32">
        <f t="shared" si="16"/>
        <v>-6485578.3269718774</v>
      </c>
      <c r="AE40" s="32">
        <f t="shared" si="16"/>
        <v>-6464214.944920836</v>
      </c>
      <c r="AF40" s="32">
        <f t="shared" si="16"/>
        <v>-6442851.5628697947</v>
      </c>
      <c r="AG40" s="32">
        <f t="shared" si="16"/>
        <v>-6421488.1808187533</v>
      </c>
      <c r="AH40" s="32">
        <f t="shared" si="16"/>
        <v>-6400124.798767712</v>
      </c>
      <c r="AI40" s="32">
        <f t="shared" si="16"/>
        <v>-6378761.4167166706</v>
      </c>
      <c r="AJ40" s="32">
        <f t="shared" ref="AJ40:BK40" si="17">AI40+AJ38</f>
        <v>-6357398.0346656293</v>
      </c>
      <c r="AK40" s="32">
        <f t="shared" si="17"/>
        <v>-6336034.6526145879</v>
      </c>
      <c r="AL40" s="32">
        <f t="shared" si="17"/>
        <v>-6314671.2705635466</v>
      </c>
      <c r="AM40" s="32">
        <f t="shared" si="17"/>
        <v>-6293307.8885125052</v>
      </c>
      <c r="AN40" s="32">
        <f t="shared" si="17"/>
        <v>-6269806.179487464</v>
      </c>
      <c r="AO40" s="32">
        <f t="shared" si="17"/>
        <v>-6246304.4704624228</v>
      </c>
      <c r="AP40" s="32">
        <f t="shared" si="17"/>
        <v>-6222802.7614373816</v>
      </c>
      <c r="AQ40" s="32">
        <f t="shared" si="17"/>
        <v>-6199301.0524123404</v>
      </c>
      <c r="AR40" s="32">
        <f t="shared" si="17"/>
        <v>-6175799.3433872992</v>
      </c>
      <c r="AS40" s="32">
        <f t="shared" si="17"/>
        <v>-6152297.634362258</v>
      </c>
      <c r="AT40" s="32">
        <f t="shared" si="17"/>
        <v>-6128795.9253372168</v>
      </c>
      <c r="AU40" s="32">
        <f t="shared" si="17"/>
        <v>-6105294.2163121756</v>
      </c>
      <c r="AV40" s="32">
        <f t="shared" si="17"/>
        <v>-6081792.5072871344</v>
      </c>
      <c r="AW40" s="32">
        <f t="shared" si="17"/>
        <v>-6058290.7982620932</v>
      </c>
      <c r="AX40" s="32">
        <f t="shared" si="17"/>
        <v>-6034789.089237052</v>
      </c>
      <c r="AY40" s="32">
        <f t="shared" si="17"/>
        <v>-6011287.3802120108</v>
      </c>
      <c r="AZ40" s="32">
        <f t="shared" si="17"/>
        <v>-5985572.5027688788</v>
      </c>
      <c r="BA40" s="32">
        <f t="shared" si="17"/>
        <v>-5959857.6253257468</v>
      </c>
      <c r="BB40" s="32">
        <f t="shared" si="17"/>
        <v>-5934142.7478826148</v>
      </c>
      <c r="BC40" s="32">
        <f t="shared" si="17"/>
        <v>-5908427.8704394829</v>
      </c>
      <c r="BD40" s="32">
        <f t="shared" si="17"/>
        <v>-5882712.9929963509</v>
      </c>
      <c r="BE40" s="32">
        <f t="shared" si="17"/>
        <v>-5856998.1155532189</v>
      </c>
      <c r="BF40" s="32">
        <f t="shared" si="17"/>
        <v>-5831283.2381100869</v>
      </c>
      <c r="BG40" s="32">
        <f t="shared" si="17"/>
        <v>-5805568.3606669549</v>
      </c>
      <c r="BH40" s="32">
        <f t="shared" si="17"/>
        <v>-5779853.4832238229</v>
      </c>
      <c r="BI40" s="32">
        <f t="shared" si="17"/>
        <v>-5754138.6057806909</v>
      </c>
      <c r="BJ40" s="32">
        <f t="shared" si="17"/>
        <v>-5728423.7283375589</v>
      </c>
      <c r="BK40" s="32">
        <f t="shared" si="17"/>
        <v>19329.545648943633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5"/>
  <sheetViews>
    <sheetView zoomScaleNormal="100" workbookViewId="0"/>
  </sheetViews>
  <sheetFormatPr baseColWidth="10" defaultColWidth="8.5" defaultRowHeight="16" x14ac:dyDescent="0.2"/>
  <cols>
    <col min="1" max="1" width="2" customWidth="1"/>
    <col min="2" max="2" width="34" customWidth="1"/>
    <col min="3" max="9" width="14" customWidth="1"/>
  </cols>
  <sheetData>
    <row r="1" spans="2:9" ht="22" x14ac:dyDescent="0.3">
      <c r="B1" s="27" t="s">
        <v>166</v>
      </c>
    </row>
    <row r="2" spans="2:9" x14ac:dyDescent="0.2">
      <c r="B2" s="35" t="s">
        <v>167</v>
      </c>
      <c r="C2" s="35" t="s">
        <v>168</v>
      </c>
      <c r="D2" s="35" t="s">
        <v>169</v>
      </c>
      <c r="E2" s="35" t="s">
        <v>170</v>
      </c>
      <c r="F2" s="35" t="s">
        <v>171</v>
      </c>
      <c r="G2" s="35" t="s">
        <v>172</v>
      </c>
      <c r="H2" s="35" t="s">
        <v>173</v>
      </c>
      <c r="I2" s="35" t="s">
        <v>174</v>
      </c>
    </row>
    <row r="3" spans="2:9" x14ac:dyDescent="0.2">
      <c r="B3" s="9" t="s">
        <v>175</v>
      </c>
      <c r="D3" s="36">
        <f>12*0+1</f>
        <v>1</v>
      </c>
      <c r="E3" s="36">
        <f>12*1+1</f>
        <v>13</v>
      </c>
      <c r="F3" s="36">
        <f>12*2+1</f>
        <v>25</v>
      </c>
      <c r="G3" s="36">
        <f>12*3+1</f>
        <v>37</v>
      </c>
      <c r="H3" s="36">
        <f>12*4+1</f>
        <v>49</v>
      </c>
    </row>
    <row r="4" spans="2:9" x14ac:dyDescent="0.2">
      <c r="B4" s="9" t="s">
        <v>176</v>
      </c>
      <c r="D4" s="36">
        <f>12*1</f>
        <v>12</v>
      </c>
      <c r="E4" s="36">
        <f>12*2</f>
        <v>24</v>
      </c>
      <c r="F4" s="36">
        <f>12*3</f>
        <v>36</v>
      </c>
      <c r="G4" s="36">
        <f>12*4</f>
        <v>48</v>
      </c>
      <c r="H4" s="36">
        <f>12*5</f>
        <v>60</v>
      </c>
    </row>
    <row r="6" spans="2:9" x14ac:dyDescent="0.2">
      <c r="B6" s="16" t="s">
        <v>141</v>
      </c>
      <c r="C6" s="32">
        <v>0</v>
      </c>
      <c r="D6" s="32">
        <f>SUMPRODUCT(('Cash Flow'!$D$2:$BK$2&gt;=D$3)*('Cash Flow'!$D$2:$BK$2&lt;=D$4)*'Cash Flow'!$D$7:$BK$7)</f>
        <v>0</v>
      </c>
      <c r="E6" s="32">
        <f>SUMPRODUCT(('Cash Flow'!$D$2:$BK$2&gt;=E$3)*('Cash Flow'!$D$2:$BK$2&lt;=E$4)*'Cash Flow'!$D$7:$BK$7)</f>
        <v>577458</v>
      </c>
      <c r="F6" s="32">
        <f>SUMPRODUCT(('Cash Flow'!$D$2:$BK$2&gt;=F$3)*('Cash Flow'!$D$2:$BK$2&lt;=F$4)*'Cash Flow'!$D$7:$BK$7)</f>
        <v>796892.04000000015</v>
      </c>
      <c r="G6" s="32">
        <f>SUMPRODUCT(('Cash Flow'!$D$2:$BK$2&gt;=G$3)*('Cash Flow'!$D$2:$BK$2&lt;=G$4)*'Cash Flow'!$D$7:$BK$7)</f>
        <v>824783.26140000008</v>
      </c>
      <c r="H6" s="32">
        <f>SUMPRODUCT(('Cash Flow'!$D$2:$BK$2&gt;=H$3)*('Cash Flow'!$D$2:$BK$2&lt;=H$4)*'Cash Flow'!$D$7:$BK$7)</f>
        <v>853650.67554899969</v>
      </c>
      <c r="I6" s="32">
        <f t="shared" ref="I6:I12" si="0">SUM(C6:H6)</f>
        <v>3052783.9769489998</v>
      </c>
    </row>
    <row r="7" spans="2:9" x14ac:dyDescent="0.2">
      <c r="B7" s="16" t="s">
        <v>142</v>
      </c>
      <c r="C7" s="32">
        <v>0</v>
      </c>
      <c r="D7" s="32">
        <f>SUMPRODUCT(('Cash Flow'!$D$2:$BK$2&gt;=D$3)*('Cash Flow'!$D$2:$BK$2&lt;=D$4)*'Cash Flow'!$D$8:$BK$8)</f>
        <v>0</v>
      </c>
      <c r="E7" s="32">
        <f>SUMPRODUCT(('Cash Flow'!$D$2:$BK$2&gt;=E$3)*('Cash Flow'!$D$2:$BK$2&lt;=E$4)*'Cash Flow'!$D$8:$BK$8)</f>
        <v>177721.5</v>
      </c>
      <c r="F7" s="32">
        <f>SUMPRODUCT(('Cash Flow'!$D$2:$BK$2&gt;=F$3)*('Cash Flow'!$D$2:$BK$2&lt;=F$4)*'Cash Flow'!$D$8:$BK$8)</f>
        <v>177721.5</v>
      </c>
      <c r="G7" s="32">
        <f>SUMPRODUCT(('Cash Flow'!$D$2:$BK$2&gt;=G$3)*('Cash Flow'!$D$2:$BK$2&lt;=G$4)*'Cash Flow'!$D$8:$BK$8)</f>
        <v>177721.5</v>
      </c>
      <c r="H7" s="32">
        <f>SUMPRODUCT(('Cash Flow'!$D$2:$BK$2&gt;=H$3)*('Cash Flow'!$D$2:$BK$2&lt;=H$4)*'Cash Flow'!$D$8:$BK$8)</f>
        <v>177721.5</v>
      </c>
      <c r="I7" s="32">
        <f t="shared" si="0"/>
        <v>710886</v>
      </c>
    </row>
    <row r="8" spans="2:9" x14ac:dyDescent="0.2">
      <c r="B8" s="16" t="s">
        <v>143</v>
      </c>
      <c r="C8" s="32">
        <v>0</v>
      </c>
      <c r="D8" s="32">
        <f>SUMPRODUCT(('Cash Flow'!$D$2:$BK$2&gt;=D$3)*('Cash Flow'!$D$2:$BK$2&lt;=D$4)*'Cash Flow'!$D$9:$BK$9)</f>
        <v>0</v>
      </c>
      <c r="E8" s="32">
        <f>SUMPRODUCT(('Cash Flow'!$D$2:$BK$2&gt;=E$3)*('Cash Flow'!$D$2:$BK$2&lt;=E$4)*'Cash Flow'!$D$9:$BK$9)</f>
        <v>-37758.974999999999</v>
      </c>
      <c r="F8" s="32">
        <f>SUMPRODUCT(('Cash Flow'!$D$2:$BK$2&gt;=F$3)*('Cash Flow'!$D$2:$BK$2&lt;=F$4)*'Cash Flow'!$D$9:$BK$9)</f>
        <v>-48730.677000000018</v>
      </c>
      <c r="G8" s="32">
        <f>SUMPRODUCT(('Cash Flow'!$D$2:$BK$2&gt;=G$3)*('Cash Flow'!$D$2:$BK$2&lt;=G$4)*'Cash Flow'!$D$9:$BK$9)</f>
        <v>-50125.238069999992</v>
      </c>
      <c r="H8" s="32">
        <f>SUMPRODUCT(('Cash Flow'!$D$2:$BK$2&gt;=H$3)*('Cash Flow'!$D$2:$BK$2&lt;=H$4)*'Cash Flow'!$D$9:$BK$9)</f>
        <v>-51568.608777449983</v>
      </c>
      <c r="I8" s="32">
        <f t="shared" si="0"/>
        <v>-188183.49884745001</v>
      </c>
    </row>
    <row r="9" spans="2:9" x14ac:dyDescent="0.2">
      <c r="B9" s="37" t="s">
        <v>144</v>
      </c>
      <c r="C9" s="34">
        <v>0</v>
      </c>
      <c r="D9" s="34">
        <f>SUMPRODUCT(('Cash Flow'!$D$2:$BK$2&gt;=D$3)*('Cash Flow'!$D$2:$BK$2&lt;=D$4)*'Cash Flow'!$D$10:$BK$10)</f>
        <v>0</v>
      </c>
      <c r="E9" s="34">
        <f>SUMPRODUCT(('Cash Flow'!$D$2:$BK$2&gt;=E$3)*('Cash Flow'!$D$2:$BK$2&lt;=E$4)*'Cash Flow'!$D$10:$BK$10)</f>
        <v>717420.52500000002</v>
      </c>
      <c r="F9" s="34">
        <f>SUMPRODUCT(('Cash Flow'!$D$2:$BK$2&gt;=F$3)*('Cash Flow'!$D$2:$BK$2&lt;=F$4)*'Cash Flow'!$D$10:$BK$10)</f>
        <v>925882.86299999978</v>
      </c>
      <c r="G9" s="34">
        <f>SUMPRODUCT(('Cash Flow'!$D$2:$BK$2&gt;=G$3)*('Cash Flow'!$D$2:$BK$2&lt;=G$4)*'Cash Flow'!$D$10:$BK$10)</f>
        <v>952379.52332999976</v>
      </c>
      <c r="H9" s="34">
        <f>SUMPRODUCT(('Cash Flow'!$D$2:$BK$2&gt;=H$3)*('Cash Flow'!$D$2:$BK$2&lt;=H$4)*'Cash Flow'!$D$10:$BK$10)</f>
        <v>979803.56677154952</v>
      </c>
      <c r="I9" s="34">
        <f t="shared" si="0"/>
        <v>3575486.4781015492</v>
      </c>
    </row>
    <row r="10" spans="2:9" x14ac:dyDescent="0.2">
      <c r="B10" s="16" t="s">
        <v>177</v>
      </c>
      <c r="C10" s="32">
        <v>0</v>
      </c>
      <c r="D10" s="32">
        <f>SUMPRODUCT(('Cash Flow'!$D$2:$BK$2&gt;=D$3)*('Cash Flow'!$D$2:$BK$2&lt;=D$4)*'Cash Flow'!$D$13:$BK$13)</f>
        <v>-177721.5</v>
      </c>
      <c r="E10" s="32">
        <f>SUMPRODUCT(('Cash Flow'!$D$2:$BK$2&gt;=E$3)*('Cash Flow'!$D$2:$BK$2&lt;=E$4)*'Cash Flow'!$D$13:$BK$13)</f>
        <v>-177721.5</v>
      </c>
      <c r="F10" s="32">
        <f>SUMPRODUCT(('Cash Flow'!$D$2:$BK$2&gt;=F$3)*('Cash Flow'!$D$2:$BK$2&lt;=F$4)*'Cash Flow'!$D$13:$BK$13)</f>
        <v>-177721.5</v>
      </c>
      <c r="G10" s="32">
        <f>SUMPRODUCT(('Cash Flow'!$D$2:$BK$2&gt;=G$3)*('Cash Flow'!$D$2:$BK$2&lt;=G$4)*'Cash Flow'!$D$13:$BK$13)</f>
        <v>-177721.5</v>
      </c>
      <c r="H10" s="32">
        <f>SUMPRODUCT(('Cash Flow'!$D$2:$BK$2&gt;=H$3)*('Cash Flow'!$D$2:$BK$2&lt;=H$4)*'Cash Flow'!$D$13:$BK$13)</f>
        <v>-177721.5</v>
      </c>
      <c r="I10" s="32">
        <f t="shared" si="0"/>
        <v>-888607.5</v>
      </c>
    </row>
    <row r="11" spans="2:9" x14ac:dyDescent="0.2">
      <c r="B11" s="16" t="s">
        <v>147</v>
      </c>
      <c r="C11" s="32">
        <v>0</v>
      </c>
      <c r="D11" s="32">
        <f>SUMPRODUCT(('Cash Flow'!$D$2:$BK$2&gt;=D$3)*('Cash Flow'!$D$2:$BK$2&lt;=D$4)*'Cash Flow'!$D$14:$BK$14)</f>
        <v>0</v>
      </c>
      <c r="E11" s="32">
        <f>SUMPRODUCT(('Cash Flow'!$D$2:$BK$2&gt;=E$3)*('Cash Flow'!$D$2:$BK$2&lt;=E$4)*'Cash Flow'!$D$14:$BK$14)</f>
        <v>-17323.740000000002</v>
      </c>
      <c r="F11" s="32">
        <f>SUMPRODUCT(('Cash Flow'!$D$2:$BK$2&gt;=F$3)*('Cash Flow'!$D$2:$BK$2&lt;=F$4)*'Cash Flow'!$D$14:$BK$14)</f>
        <v>-23906.761200000004</v>
      </c>
      <c r="G11" s="32">
        <f>SUMPRODUCT(('Cash Flow'!$D$2:$BK$2&gt;=G$3)*('Cash Flow'!$D$2:$BK$2&lt;=G$4)*'Cash Flow'!$D$14:$BK$14)</f>
        <v>-24743.497841999997</v>
      </c>
      <c r="H11" s="32">
        <f>SUMPRODUCT(('Cash Flow'!$D$2:$BK$2&gt;=H$3)*('Cash Flow'!$D$2:$BK$2&lt;=H$4)*'Cash Flow'!$D$14:$BK$14)</f>
        <v>-25609.520266470001</v>
      </c>
      <c r="I11" s="32">
        <f t="shared" si="0"/>
        <v>-91583.519308470015</v>
      </c>
    </row>
    <row r="12" spans="2:9" x14ac:dyDescent="0.2">
      <c r="B12" s="37" t="s">
        <v>149</v>
      </c>
      <c r="C12" s="34">
        <v>0</v>
      </c>
      <c r="D12" s="34">
        <f>SUMPRODUCT(('Cash Flow'!$D$2:$BK$2&gt;=D$3)*('Cash Flow'!$D$2:$BK$2&lt;=D$4)*'Cash Flow'!$D$17:$BK$17)</f>
        <v>-177721.5</v>
      </c>
      <c r="E12" s="34">
        <f>SUMPRODUCT(('Cash Flow'!$D$2:$BK$2&gt;=E$3)*('Cash Flow'!$D$2:$BK$2&lt;=E$4)*'Cash Flow'!$D$17:$BK$17)</f>
        <v>522375.28500000003</v>
      </c>
      <c r="F12" s="34">
        <f>SUMPRODUCT(('Cash Flow'!$D$2:$BK$2&gt;=F$3)*('Cash Flow'!$D$2:$BK$2&lt;=F$4)*'Cash Flow'!$D$17:$BK$17)</f>
        <v>724254.60180000018</v>
      </c>
      <c r="G12" s="34">
        <f>SUMPRODUCT(('Cash Flow'!$D$2:$BK$2&gt;=G$3)*('Cash Flow'!$D$2:$BK$2&lt;=G$4)*'Cash Flow'!$D$17:$BK$17)</f>
        <v>749914.52548799978</v>
      </c>
      <c r="H12" s="34">
        <f>SUMPRODUCT(('Cash Flow'!$D$2:$BK$2&gt;=H$3)*('Cash Flow'!$D$2:$BK$2&lt;=H$4)*'Cash Flow'!$D$17:$BK$17)</f>
        <v>776472.54650507972</v>
      </c>
      <c r="I12" s="34">
        <f t="shared" si="0"/>
        <v>2595295.4587930795</v>
      </c>
    </row>
    <row r="14" spans="2:9" x14ac:dyDescent="0.2">
      <c r="B14" s="16" t="s">
        <v>178</v>
      </c>
      <c r="C14" s="32">
        <v>0</v>
      </c>
      <c r="D14" s="32">
        <f>SUMPRODUCT(('Cash Flow'!$D$2:$BK$2&gt;=D$3)*('Cash Flow'!$D$2:$BK$2&lt;=D$4)*'Cash Flow'!$D$24:$BK$24)</f>
        <v>-1769267.1499999994</v>
      </c>
      <c r="E14" s="32">
        <f>SUMPRODUCT(('Cash Flow'!$D$2:$BK$2&gt;=E$3)*('Cash Flow'!$D$2:$BK$2&lt;=E$4)*'Cash Flow'!$D$24:$BK$24)</f>
        <v>-518108.15000000014</v>
      </c>
      <c r="F14" s="32">
        <f>SUMPRODUCT(('Cash Flow'!$D$2:$BK$2&gt;=F$3)*('Cash Flow'!$D$2:$BK$2&lt;=F$4)*'Cash Flow'!$D$24:$BK$24)</f>
        <v>-4812.1499999999987</v>
      </c>
      <c r="G14" s="32">
        <f>SUMPRODUCT(('Cash Flow'!$D$2:$BK$2&gt;=G$3)*('Cash Flow'!$D$2:$BK$2&lt;=G$4)*'Cash Flow'!$D$24:$BK$24)</f>
        <v>-4812.1499999999987</v>
      </c>
      <c r="H14" s="32">
        <f>SUMPRODUCT(('Cash Flow'!$D$2:$BK$2&gt;=H$3)*('Cash Flow'!$D$2:$BK$2&lt;=H$4)*'Cash Flow'!$D$24:$BK$24)</f>
        <v>-4812.1499999999987</v>
      </c>
      <c r="I14" s="32">
        <f>SUM(C14:H14)</f>
        <v>-2301811.7499999995</v>
      </c>
    </row>
    <row r="15" spans="2:9" x14ac:dyDescent="0.2">
      <c r="B15" s="16" t="s">
        <v>179</v>
      </c>
      <c r="C15" s="32">
        <f>'Cash Flow'!C27</f>
        <v>-11016000</v>
      </c>
      <c r="D15" s="32">
        <f>SUMPRODUCT(('Cash Flow'!$D$2:$BK$2&gt;=D$3)*('Cash Flow'!$D$2:$BK$2&lt;=D$4)*'Cash Flow'!$D$27:$BK$27)</f>
        <v>0</v>
      </c>
      <c r="E15" s="32">
        <f>SUMPRODUCT(('Cash Flow'!$D$2:$BK$2&gt;=E$3)*('Cash Flow'!$D$2:$BK$2&lt;=E$4)*'Cash Flow'!$D$27:$BK$27)</f>
        <v>0</v>
      </c>
      <c r="F15" s="32">
        <f>SUMPRODUCT(('Cash Flow'!$D$2:$BK$2&gt;=F$3)*('Cash Flow'!$D$2:$BK$2&lt;=F$4)*'Cash Flow'!$D$27:$BK$27)</f>
        <v>0</v>
      </c>
      <c r="G15" s="32">
        <f>SUMPRODUCT(('Cash Flow'!$D$2:$BK$2&gt;=G$3)*('Cash Flow'!$D$2:$BK$2&lt;=G$4)*'Cash Flow'!$D$27:$BK$27)</f>
        <v>0</v>
      </c>
      <c r="H15" s="32">
        <f>SUMPRODUCT(('Cash Flow'!$D$2:$BK$2&gt;=H$3)*('Cash Flow'!$D$2:$BK$2&lt;=H$4)*'Cash Flow'!$D$27:$BK$27)</f>
        <v>0</v>
      </c>
      <c r="I15" s="32">
        <f>SUM(C15:H15)</f>
        <v>-11016000</v>
      </c>
    </row>
    <row r="16" spans="2:9" x14ac:dyDescent="0.2">
      <c r="B16" s="16" t="s">
        <v>158</v>
      </c>
      <c r="C16" s="32">
        <v>0</v>
      </c>
      <c r="D16" s="32">
        <f>SUMPRODUCT(('Cash Flow'!$D$2:$BK$2&gt;=D$3)*('Cash Flow'!$D$2:$BK$2&lt;=D$4)*'Cash Flow'!$D$28:$BK$28)</f>
        <v>0</v>
      </c>
      <c r="E16" s="32">
        <f>SUMPRODUCT(('Cash Flow'!$D$2:$BK$2&gt;=E$3)*('Cash Flow'!$D$2:$BK$2&lt;=E$4)*'Cash Flow'!$D$28:$BK$28)</f>
        <v>0</v>
      </c>
      <c r="F16" s="32">
        <f>SUMPRODUCT(('Cash Flow'!$D$2:$BK$2&gt;=F$3)*('Cash Flow'!$D$2:$BK$2&lt;=F$4)*'Cash Flow'!$D$28:$BK$28)</f>
        <v>0</v>
      </c>
      <c r="G16" s="32">
        <f>SUMPRODUCT(('Cash Flow'!$D$2:$BK$2&gt;=G$3)*('Cash Flow'!$D$2:$BK$2&lt;=G$4)*'Cash Flow'!$D$28:$BK$28)</f>
        <v>0</v>
      </c>
      <c r="H16" s="32">
        <f>SUMPRODUCT(('Cash Flow'!$D$2:$BK$2&gt;=H$3)*('Cash Flow'!$D$2:$BK$2&lt;=H$4)*'Cash Flow'!$D$28:$BK$28)</f>
        <v>13131348.271543372</v>
      </c>
      <c r="I16" s="32">
        <f>SUM(C16:H16)</f>
        <v>13131348.271543372</v>
      </c>
    </row>
    <row r="17" spans="2:9" x14ac:dyDescent="0.2">
      <c r="B17" s="37" t="s">
        <v>159</v>
      </c>
      <c r="C17" s="34">
        <f>'Cash Flow'!C30</f>
        <v>-11016000</v>
      </c>
      <c r="D17" s="34">
        <f>SUMPRODUCT(('Cash Flow'!$D$2:$BK$2&gt;=D$3)*('Cash Flow'!$D$2:$BK$2&lt;=D$4)*'Cash Flow'!$D$30:$BK$30)</f>
        <v>-1946988.6499999994</v>
      </c>
      <c r="E17" s="34">
        <f>SUMPRODUCT(('Cash Flow'!$D$2:$BK$2&gt;=E$3)*('Cash Flow'!$D$2:$BK$2&lt;=E$4)*'Cash Flow'!$D$30:$BK$30)</f>
        <v>4267.1349999999948</v>
      </c>
      <c r="F17" s="34">
        <f>SUMPRODUCT(('Cash Flow'!$D$2:$BK$2&gt;=F$3)*('Cash Flow'!$D$2:$BK$2&lt;=F$4)*'Cash Flow'!$D$30:$BK$30)</f>
        <v>719442.45179999992</v>
      </c>
      <c r="G17" s="34">
        <f>SUMPRODUCT(('Cash Flow'!$D$2:$BK$2&gt;=G$3)*('Cash Flow'!$D$2:$BK$2&lt;=G$4)*'Cash Flow'!$D$30:$BK$30)</f>
        <v>745102.37548799952</v>
      </c>
      <c r="H17" s="34">
        <f>SUMPRODUCT(('Cash Flow'!$D$2:$BK$2&gt;=H$3)*('Cash Flow'!$D$2:$BK$2&lt;=H$4)*'Cash Flow'!$D$30:$BK$30)</f>
        <v>13903008.668048453</v>
      </c>
      <c r="I17" s="34">
        <f>SUM(C17:H17)</f>
        <v>2408831.9803364538</v>
      </c>
    </row>
    <row r="19" spans="2:9" x14ac:dyDescent="0.2">
      <c r="B19" s="16" t="s">
        <v>160</v>
      </c>
      <c r="C19" s="32">
        <f>'Cash Flow'!C33</f>
        <v>7409309.8750000009</v>
      </c>
      <c r="D19" s="32">
        <f>SUMPRODUCT(('Cash Flow'!$D$2:$BK$2&gt;=D$3)*('Cash Flow'!$D$2:$BK$2&lt;=D$4)*'Cash Flow'!$D$33:$BK$33)</f>
        <v>0</v>
      </c>
      <c r="E19" s="32">
        <f>SUMPRODUCT(('Cash Flow'!$D$2:$BK$2&gt;=E$3)*('Cash Flow'!$D$2:$BK$2&lt;=E$4)*'Cash Flow'!$D$33:$BK$33)</f>
        <v>0</v>
      </c>
      <c r="F19" s="32">
        <f>SUMPRODUCT(('Cash Flow'!$D$2:$BK$2&gt;=F$3)*('Cash Flow'!$D$2:$BK$2&lt;=F$4)*'Cash Flow'!$D$33:$BK$33)</f>
        <v>0</v>
      </c>
      <c r="G19" s="32">
        <f>SUMPRODUCT(('Cash Flow'!$D$2:$BK$2&gt;=G$3)*('Cash Flow'!$D$2:$BK$2&lt;=G$4)*'Cash Flow'!$D$33:$BK$33)</f>
        <v>0</v>
      </c>
      <c r="H19" s="32">
        <f>SUMPRODUCT(('Cash Flow'!$D$2:$BK$2&gt;=H$3)*('Cash Flow'!$D$2:$BK$2&lt;=H$4)*'Cash Flow'!$D$33:$BK$33)</f>
        <v>0</v>
      </c>
      <c r="I19" s="32">
        <f>SUM(C19:H19)</f>
        <v>7409309.8750000009</v>
      </c>
    </row>
    <row r="20" spans="2:9" x14ac:dyDescent="0.2">
      <c r="B20" s="16" t="s">
        <v>161</v>
      </c>
      <c r="C20" s="32">
        <f>'Cash Flow'!C34</f>
        <v>-74093.098750000005</v>
      </c>
      <c r="D20" s="32">
        <f>SUMPRODUCT(('Cash Flow'!$D$2:$BK$2&gt;=D$3)*('Cash Flow'!$D$2:$BK$2&lt;=D$4)*'Cash Flow'!$D$34:$BK$34)</f>
        <v>0</v>
      </c>
      <c r="E20" s="32">
        <f>SUMPRODUCT(('Cash Flow'!$D$2:$BK$2&gt;=E$3)*('Cash Flow'!$D$2:$BK$2&lt;=E$4)*'Cash Flow'!$D$34:$BK$34)</f>
        <v>0</v>
      </c>
      <c r="F20" s="32">
        <f>SUMPRODUCT(('Cash Flow'!$D$2:$BK$2&gt;=F$3)*('Cash Flow'!$D$2:$BK$2&lt;=F$4)*'Cash Flow'!$D$34:$BK$34)</f>
        <v>0</v>
      </c>
      <c r="G20" s="32">
        <f>SUMPRODUCT(('Cash Flow'!$D$2:$BK$2&gt;=G$3)*('Cash Flow'!$D$2:$BK$2&lt;=G$4)*'Cash Flow'!$D$34:$BK$34)</f>
        <v>0</v>
      </c>
      <c r="H20" s="32">
        <f>SUMPRODUCT(('Cash Flow'!$D$2:$BK$2&gt;=H$3)*('Cash Flow'!$D$2:$BK$2&lt;=H$4)*'Cash Flow'!$D$34:$BK$34)</f>
        <v>0</v>
      </c>
      <c r="I20" s="32">
        <f>SUM(C20:H20)</f>
        <v>-74093.098750000005</v>
      </c>
    </row>
    <row r="21" spans="2:9" x14ac:dyDescent="0.2">
      <c r="B21" s="16" t="s">
        <v>180</v>
      </c>
      <c r="C21" s="32">
        <v>0</v>
      </c>
      <c r="D21" s="32">
        <f>SUMPRODUCT(('Cash Flow'!$D$2:$BK$2&gt;=D$3)*('Cash Flow'!$D$2:$BK$2&lt;=D$4)*'Cash Flow'!$D$35:$BK$35)</f>
        <v>-463081.86718749994</v>
      </c>
      <c r="E21" s="32">
        <f>SUMPRODUCT(('Cash Flow'!$D$2:$BK$2&gt;=E$3)*('Cash Flow'!$D$2:$BK$2&lt;=E$4)*'Cash Flow'!$D$35:$BK$35)</f>
        <v>-463081.86718749994</v>
      </c>
      <c r="F21" s="32">
        <f>SUMPRODUCT(('Cash Flow'!$D$2:$BK$2&gt;=F$3)*('Cash Flow'!$D$2:$BK$2&lt;=F$4)*'Cash Flow'!$D$35:$BK$35)</f>
        <v>-463081.86718749994</v>
      </c>
      <c r="G21" s="32">
        <f>SUMPRODUCT(('Cash Flow'!$D$2:$BK$2&gt;=G$3)*('Cash Flow'!$D$2:$BK$2&lt;=G$4)*'Cash Flow'!$D$35:$BK$35)</f>
        <v>-463081.86718749994</v>
      </c>
      <c r="H21" s="32">
        <f>SUMPRODUCT(('Cash Flow'!$D$2:$BK$2&gt;=H$3)*('Cash Flow'!$D$2:$BK$2&lt;=H$4)*'Cash Flow'!$D$35:$BK$35)</f>
        <v>-463081.86718749994</v>
      </c>
      <c r="I21" s="32">
        <f>SUM(C21:H21)</f>
        <v>-2315409.3359374995</v>
      </c>
    </row>
    <row r="22" spans="2:9" x14ac:dyDescent="0.2">
      <c r="B22" s="16" t="s">
        <v>163</v>
      </c>
      <c r="C22" s="32">
        <v>0</v>
      </c>
      <c r="D22" s="32">
        <f>SUMPRODUCT(('Cash Flow'!$D$2:$BK$2&gt;=D$3)*('Cash Flow'!$D$2:$BK$2&lt;=D$4)*'Cash Flow'!$D$36:$BK$36)</f>
        <v>0</v>
      </c>
      <c r="E22" s="32">
        <f>SUMPRODUCT(('Cash Flow'!$D$2:$BK$2&gt;=E$3)*('Cash Flow'!$D$2:$BK$2&lt;=E$4)*'Cash Flow'!$D$36:$BK$36)</f>
        <v>0</v>
      </c>
      <c r="F22" s="32">
        <f>SUMPRODUCT(('Cash Flow'!$D$2:$BK$2&gt;=F$3)*('Cash Flow'!$D$2:$BK$2&lt;=F$4)*'Cash Flow'!$D$36:$BK$36)</f>
        <v>0</v>
      </c>
      <c r="G22" s="32">
        <f>SUMPRODUCT(('Cash Flow'!$D$2:$BK$2&gt;=G$3)*('Cash Flow'!$D$2:$BK$2&lt;=G$4)*'Cash Flow'!$D$36:$BK$36)</f>
        <v>0</v>
      </c>
      <c r="H22" s="32">
        <f>SUMPRODUCT(('Cash Flow'!$D$2:$BK$2&gt;=H$3)*('Cash Flow'!$D$2:$BK$2&lt;=H$4)*'Cash Flow'!$D$36:$BK$36)</f>
        <v>-7409309.8750000009</v>
      </c>
      <c r="I22" s="32">
        <f>SUM(C22:H22)</f>
        <v>-7409309.8750000009</v>
      </c>
    </row>
    <row r="23" spans="2:9" x14ac:dyDescent="0.2">
      <c r="B23" s="37" t="s">
        <v>164</v>
      </c>
      <c r="C23" s="34">
        <f>'Cash Flow'!C38</f>
        <v>-3680783.223749999</v>
      </c>
      <c r="D23" s="34">
        <f>SUMPRODUCT(('Cash Flow'!$D$2:$BK$2&gt;=D$3)*('Cash Flow'!$D$2:$BK$2&lt;=D$4)*'Cash Flow'!$D$38:$BK$38)</f>
        <v>-2410070.5171874994</v>
      </c>
      <c r="E23" s="34">
        <f>SUMPRODUCT(('Cash Flow'!$D$2:$BK$2&gt;=E$3)*('Cash Flow'!$D$2:$BK$2&lt;=E$4)*'Cash Flow'!$D$38:$BK$38)</f>
        <v>-458814.73218750011</v>
      </c>
      <c r="F23" s="34">
        <f>SUMPRODUCT(('Cash Flow'!$D$2:$BK$2&gt;=F$3)*('Cash Flow'!$D$2:$BK$2&lt;=F$4)*'Cash Flow'!$D$38:$BK$38)</f>
        <v>256360.58461250001</v>
      </c>
      <c r="G23" s="34">
        <f>SUMPRODUCT(('Cash Flow'!$D$2:$BK$2&gt;=G$3)*('Cash Flow'!$D$2:$BK$2&lt;=G$4)*'Cash Flow'!$D$38:$BK$38)</f>
        <v>282020.5083004997</v>
      </c>
      <c r="H23" s="34">
        <f>SUMPRODUCT(('Cash Flow'!$D$2:$BK$2&gt;=H$3)*('Cash Flow'!$D$2:$BK$2&lt;=H$4)*'Cash Flow'!$D$38:$BK$38)</f>
        <v>6030616.9258609507</v>
      </c>
      <c r="I23" s="34">
        <f>SUM(C23:H23)</f>
        <v>19329.545648952015</v>
      </c>
    </row>
    <row r="25" spans="2:9" x14ac:dyDescent="0.2">
      <c r="B25" s="9" t="s">
        <v>181</v>
      </c>
      <c r="I25" s="38">
        <f>I23-SUM('Cash Flow'!C38:BK38)</f>
        <v>8.3819031715393066E-9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50"/>
  <sheetViews>
    <sheetView zoomScaleNormal="100" workbookViewId="0"/>
  </sheetViews>
  <sheetFormatPr baseColWidth="10" defaultColWidth="8.5" defaultRowHeight="16" x14ac:dyDescent="0.2"/>
  <cols>
    <col min="1" max="1" width="2" customWidth="1"/>
    <col min="2" max="2" width="40" customWidth="1"/>
    <col min="3" max="3" width="18" customWidth="1"/>
    <col min="4" max="4" width="70" customWidth="1"/>
  </cols>
  <sheetData>
    <row r="1" spans="2:4" ht="22" x14ac:dyDescent="0.3">
      <c r="B1" s="27" t="s">
        <v>182</v>
      </c>
    </row>
    <row r="4" spans="2:4" x14ac:dyDescent="0.2">
      <c r="B4" s="4" t="s">
        <v>183</v>
      </c>
    </row>
    <row r="5" spans="2:4" x14ac:dyDescent="0.2">
      <c r="B5" s="16" t="s">
        <v>184</v>
      </c>
      <c r="C5" s="32">
        <f>Assumptions!C8</f>
        <v>10800000</v>
      </c>
      <c r="D5" s="9" t="s">
        <v>185</v>
      </c>
    </row>
    <row r="6" spans="2:4" x14ac:dyDescent="0.2">
      <c r="B6" s="16" t="s">
        <v>186</v>
      </c>
      <c r="C6" s="39">
        <f>Assumptions!C9</f>
        <v>336.64786010411149</v>
      </c>
    </row>
    <row r="7" spans="2:4" x14ac:dyDescent="0.2">
      <c r="B7" s="16" t="s">
        <v>187</v>
      </c>
      <c r="C7" s="32">
        <f>'Sources and Uses'!C10</f>
        <v>13471472.5</v>
      </c>
      <c r="D7" s="9" t="s">
        <v>188</v>
      </c>
    </row>
    <row r="8" spans="2:4" x14ac:dyDescent="0.2">
      <c r="B8" s="16" t="s">
        <v>189</v>
      </c>
      <c r="C8" s="39">
        <f>'Sources and Uses'!E10</f>
        <v>419.92059162744306</v>
      </c>
      <c r="D8" s="9" t="s">
        <v>190</v>
      </c>
    </row>
    <row r="10" spans="2:4" x14ac:dyDescent="0.2">
      <c r="B10" s="4" t="s">
        <v>191</v>
      </c>
    </row>
    <row r="11" spans="2:4" x14ac:dyDescent="0.2">
      <c r="B11" s="16" t="s">
        <v>192</v>
      </c>
      <c r="C11" s="32">
        <f>INDEX('Cash Flow'!D17:BL17,Assumptions!C31)*12</f>
        <v>699462.40500000003</v>
      </c>
      <c r="D11" s="9" t="s">
        <v>193</v>
      </c>
    </row>
    <row r="12" spans="2:4" x14ac:dyDescent="0.2">
      <c r="B12" s="16" t="s">
        <v>194</v>
      </c>
      <c r="C12" s="40">
        <f>C11/C7</f>
        <v>5.1921748346366745E-2</v>
      </c>
      <c r="D12" s="9" t="s">
        <v>195</v>
      </c>
    </row>
    <row r="13" spans="2:4" x14ac:dyDescent="0.2">
      <c r="B13" s="16" t="s">
        <v>196</v>
      </c>
      <c r="C13" s="41">
        <f>Assumptions!C51</f>
        <v>0.06</v>
      </c>
    </row>
    <row r="14" spans="2:4" x14ac:dyDescent="0.2">
      <c r="B14" s="16" t="s">
        <v>197</v>
      </c>
      <c r="C14" s="40">
        <f>C12-C13</f>
        <v>-8.0782516536332533E-3</v>
      </c>
      <c r="D14" s="9" t="s">
        <v>198</v>
      </c>
    </row>
    <row r="16" spans="2:4" x14ac:dyDescent="0.2">
      <c r="B16" s="4" t="s">
        <v>74</v>
      </c>
    </row>
    <row r="17" spans="2:4" x14ac:dyDescent="0.2">
      <c r="B17" s="16" t="s">
        <v>199</v>
      </c>
      <c r="C17" s="32">
        <f>INDEX('Cash Flow'!D17:BL17,Assumptions!C50+1)*12</f>
        <v>803960.09825775749</v>
      </c>
      <c r="D17" s="9" t="s">
        <v>200</v>
      </c>
    </row>
    <row r="18" spans="2:4" x14ac:dyDescent="0.2">
      <c r="B18" s="16" t="s">
        <v>201</v>
      </c>
      <c r="C18" s="32">
        <f>C17/C13</f>
        <v>13399334.970962625</v>
      </c>
    </row>
    <row r="19" spans="2:4" x14ac:dyDescent="0.2">
      <c r="B19" s="16" t="s">
        <v>202</v>
      </c>
      <c r="C19" s="39">
        <f>C18/Assumptions!C5</f>
        <v>417.67198562895874</v>
      </c>
    </row>
    <row r="20" spans="2:4" x14ac:dyDescent="0.2">
      <c r="B20" s="16" t="s">
        <v>203</v>
      </c>
      <c r="C20" s="32">
        <f>C18*(1-Assumptions!C52)</f>
        <v>13131348.271543372</v>
      </c>
    </row>
    <row r="22" spans="2:4" x14ac:dyDescent="0.2">
      <c r="B22" s="4" t="s">
        <v>204</v>
      </c>
    </row>
    <row r="23" spans="2:4" x14ac:dyDescent="0.2">
      <c r="B23" s="16" t="s">
        <v>205</v>
      </c>
      <c r="C23" s="32">
        <f>SUM('Cash Flow'!C30:BK30)</f>
        <v>2408831.9803364519</v>
      </c>
    </row>
    <row r="24" spans="2:4" x14ac:dyDescent="0.2">
      <c r="B24" s="16" t="s">
        <v>206</v>
      </c>
      <c r="C24" s="40">
        <f>XIRR('Cash Flow'!C30:BK30,'Cash Flow'!C3:BK3)</f>
        <v>3.6426880955696114E-2</v>
      </c>
      <c r="D24" s="9" t="s">
        <v>207</v>
      </c>
    </row>
    <row r="25" spans="2:4" x14ac:dyDescent="0.2">
      <c r="B25" s="16" t="s">
        <v>208</v>
      </c>
      <c r="C25" s="41">
        <f>(1+IRR('Cash Flow'!C30:BK30,0.003))^12-1</f>
        <v>3.6465258381087828E-2</v>
      </c>
      <c r="D25" s="9" t="s">
        <v>209</v>
      </c>
    </row>
    <row r="26" spans="2:4" x14ac:dyDescent="0.2">
      <c r="B26" s="16" t="s">
        <v>210</v>
      </c>
      <c r="C26" s="42">
        <f>SUMIF('Cash Flow'!C30:BK30,"&gt;0")/-SUMIF('Cash Flow'!C30:BK30,"&lt;0")</f>
        <v>1.1787005894177283</v>
      </c>
    </row>
    <row r="28" spans="2:4" x14ac:dyDescent="0.2">
      <c r="B28" s="4" t="s">
        <v>211</v>
      </c>
    </row>
    <row r="29" spans="2:4" x14ac:dyDescent="0.2">
      <c r="B29" s="16" t="s">
        <v>212</v>
      </c>
      <c r="C29" s="32">
        <f>SUM('Cash Flow'!C38:BK38)</f>
        <v>19329.545648943633</v>
      </c>
    </row>
    <row r="30" spans="2:4" x14ac:dyDescent="0.2">
      <c r="B30" s="16" t="s">
        <v>213</v>
      </c>
      <c r="C30" s="40">
        <f>XIRR('Cash Flow'!C38:BK38,'Cash Flow'!C3:BK3)</f>
        <v>6.365686655044557E-4</v>
      </c>
      <c r="D30" s="9" t="s">
        <v>207</v>
      </c>
    </row>
    <row r="31" spans="2:4" x14ac:dyDescent="0.2">
      <c r="B31" s="16" t="s">
        <v>214</v>
      </c>
      <c r="C31" s="41">
        <f>(1+IRR('Cash Flow'!C38:BK38,0.001))^12-1</f>
        <v>6.3723657539260792E-4</v>
      </c>
      <c r="D31" s="9" t="s">
        <v>209</v>
      </c>
    </row>
    <row r="32" spans="2:4" x14ac:dyDescent="0.2">
      <c r="B32" s="16" t="s">
        <v>215</v>
      </c>
      <c r="C32" s="42">
        <f>SUMIF('Cash Flow'!C38:BK38,"&gt;0")/-SUMIF('Cash Flow'!C38:BK38,"&lt;0")</f>
        <v>1.0028749895070825</v>
      </c>
    </row>
    <row r="33" spans="2:4" x14ac:dyDescent="0.2">
      <c r="B33" s="16" t="s">
        <v>216</v>
      </c>
      <c r="C33" s="32">
        <f>-MIN('Cash Flow'!C40:BK40)</f>
        <v>6723344.7639843728</v>
      </c>
      <c r="D33" s="9" t="s">
        <v>217</v>
      </c>
    </row>
    <row r="35" spans="2:4" x14ac:dyDescent="0.2">
      <c r="B35" s="4" t="s">
        <v>218</v>
      </c>
    </row>
    <row r="36" spans="2:4" x14ac:dyDescent="0.2">
      <c r="B36" s="16" t="s">
        <v>219</v>
      </c>
      <c r="C36" s="32">
        <f>'Sources and Uses'!C15</f>
        <v>7409309.8750000009</v>
      </c>
    </row>
    <row r="37" spans="2:4" x14ac:dyDescent="0.2">
      <c r="B37" s="16" t="s">
        <v>220</v>
      </c>
      <c r="C37" s="32">
        <f>C36*Assumptions!C45</f>
        <v>463081.86718750006</v>
      </c>
    </row>
    <row r="38" spans="2:4" x14ac:dyDescent="0.2">
      <c r="B38" s="16" t="s">
        <v>221</v>
      </c>
      <c r="C38" s="42">
        <f>C11/C37</f>
        <v>1.5104508609852141</v>
      </c>
      <c r="D38" s="9" t="s">
        <v>222</v>
      </c>
    </row>
    <row r="39" spans="2:4" x14ac:dyDescent="0.2">
      <c r="B39" s="16" t="s">
        <v>223</v>
      </c>
      <c r="C39" s="41">
        <f>C11/C36</f>
        <v>9.440317881157588E-2</v>
      </c>
      <c r="D39" s="9" t="s">
        <v>224</v>
      </c>
    </row>
    <row r="41" spans="2:4" x14ac:dyDescent="0.2">
      <c r="B41" s="4" t="s">
        <v>225</v>
      </c>
    </row>
    <row r="42" spans="2:4" x14ac:dyDescent="0.2">
      <c r="B42" s="16" t="s">
        <v>226</v>
      </c>
      <c r="C42" s="41">
        <f>Assumptions!C55</f>
        <v>6.5000000000000002E-2</v>
      </c>
      <c r="D42" s="9" t="s">
        <v>227</v>
      </c>
    </row>
    <row r="43" spans="2:4" x14ac:dyDescent="0.2">
      <c r="B43" s="16" t="s">
        <v>228</v>
      </c>
      <c r="C43" s="43">
        <f>(12*Assumptions!$C$23*Assumptions!$C$5*(1-Assumptions!$C$41-Assumptions!$C$39)-Assumptions!$C$41*(Assumptions!$C$36+Assumptions!$C$37)*Assumptions!$C$5-Assumptions!$C$55*(Assumptions!$C$19+(Assumptions!$C$28*Assumptions!$C$5)+(Assumptions!$C$29*Assumptions!$C$23*Assumptions!$C$5*Assumptions!$C$25)+(Assumptions!$C$36+Assumptions!$C$37)*Assumptions!$C$5*(Assumptions!$C$30-1)/12))/(Assumptions!$C$55*(1+Assumptions!$C$10+Assumptions!$C$34*(Assumptions!$C$30-1)/12)+Assumptions!$C$41*Assumptions!$C$34)</f>
        <v>8196818.742612293</v>
      </c>
      <c r="D43" s="9" t="s">
        <v>229</v>
      </c>
    </row>
    <row r="44" spans="2:4" x14ac:dyDescent="0.2">
      <c r="B44" s="16" t="s">
        <v>230</v>
      </c>
      <c r="C44" s="44">
        <f>1-C43/C5</f>
        <v>0.24103530160997289</v>
      </c>
    </row>
    <row r="45" spans="2:4" x14ac:dyDescent="0.2">
      <c r="B45" s="16" t="s">
        <v>231</v>
      </c>
      <c r="C45" s="41">
        <f>(12*Assumptions!$C$23*Assumptions!$C$5*(1-Assumptions!$C$41-Assumptions!$C$39)-Assumptions!$C$41*($C$43*Assumptions!$C$34+(Assumptions!$C$36+Assumptions!$C$37)*Assumptions!$C$5))/($C$43*(1+Assumptions!$C$10)+Assumptions!$C$19+(Assumptions!$C$28*Assumptions!$C$5)+(Assumptions!$C$29*Assumptions!$C$23*Assumptions!$C$5*Assumptions!$C$25)+($C$43*Assumptions!$C$34+(Assumptions!$C$36+Assumptions!$C$37)*Assumptions!$C$5)*(Assumptions!$C$30-1)/12)</f>
        <v>6.5000000000000002E-2</v>
      </c>
      <c r="D45" s="9" t="s">
        <v>232</v>
      </c>
    </row>
    <row r="47" spans="2:4" x14ac:dyDescent="0.2">
      <c r="B47" s="4" t="s">
        <v>233</v>
      </c>
    </row>
    <row r="48" spans="2:4" ht="30" customHeight="1" x14ac:dyDescent="0.2">
      <c r="B48" s="1" t="s">
        <v>234</v>
      </c>
      <c r="C48" s="1"/>
      <c r="D48" s="1"/>
    </row>
    <row r="49" spans="2:4" x14ac:dyDescent="0.2">
      <c r="B49" s="1"/>
      <c r="C49" s="1"/>
      <c r="D49" s="1"/>
    </row>
    <row r="50" spans="2:4" x14ac:dyDescent="0.2">
      <c r="B50" s="1"/>
      <c r="C50" s="1"/>
      <c r="D50" s="1"/>
    </row>
  </sheetData>
  <mergeCells count="1">
    <mergeCell ref="B48:D5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35"/>
  <sheetViews>
    <sheetView tabSelected="1" zoomScaleNormal="100" workbookViewId="0">
      <selection activeCell="E46" sqref="E46"/>
    </sheetView>
  </sheetViews>
  <sheetFormatPr baseColWidth="10" defaultColWidth="8.5" defaultRowHeight="16" x14ac:dyDescent="0.2"/>
  <cols>
    <col min="1" max="1" width="2" customWidth="1"/>
    <col min="2" max="2" width="22" customWidth="1"/>
    <col min="3" max="8" width="15" customWidth="1"/>
  </cols>
  <sheetData>
    <row r="1" spans="2:7" ht="22" x14ac:dyDescent="0.3">
      <c r="B1" s="27" t="s">
        <v>235</v>
      </c>
    </row>
    <row r="2" spans="2:7" x14ac:dyDescent="0.2">
      <c r="B2" s="9" t="s">
        <v>236</v>
      </c>
    </row>
    <row r="3" spans="2:7" x14ac:dyDescent="0.2">
      <c r="B3" s="4" t="s">
        <v>237</v>
      </c>
    </row>
    <row r="4" spans="2:7" x14ac:dyDescent="0.2">
      <c r="B4" s="9" t="s">
        <v>238</v>
      </c>
    </row>
    <row r="5" spans="2:7" x14ac:dyDescent="0.2">
      <c r="B5" s="28" t="s">
        <v>239</v>
      </c>
      <c r="C5" s="45">
        <v>8500000</v>
      </c>
      <c r="D5" s="45">
        <v>9000000</v>
      </c>
      <c r="E5" s="45">
        <v>9500000</v>
      </c>
      <c r="F5" s="45">
        <v>10000000</v>
      </c>
      <c r="G5" s="45">
        <v>10800000</v>
      </c>
    </row>
    <row r="6" spans="2:7" x14ac:dyDescent="0.2">
      <c r="B6" s="46">
        <v>1.8</v>
      </c>
      <c r="C6" s="47">
        <f>(12*$B6*Assumptions!$C$5*(1-Assumptions!$C$41-Assumptions!$C$39)-Assumptions!$C$41*(C$5*Assumptions!$C$34+(Assumptions!$C$36+Assumptions!$C$37)*Assumptions!$C$5))/(C$5*(1+Assumptions!$C$10)+Assumptions!$C$19+(Assumptions!$C$28*Assumptions!$C$5)+(Assumptions!$C$29*$B6*Assumptions!$C$5*Assumptions!$C$25)+(C$5*Assumptions!$C$34+(Assumptions!$C$36+Assumptions!$C$37)*Assumptions!$C$5)*(Assumptions!$C$30-1)/12)</f>
        <v>5.6866950506371104E-2</v>
      </c>
      <c r="D6" s="47">
        <f>(12*$B6*Assumptions!$C$5*(1-Assumptions!$C$41-Assumptions!$C$39)-Assumptions!$C$41*(D$5*Assumptions!$C$34+(Assumptions!$C$36+Assumptions!$C$37)*Assumptions!$C$5))/(D$5*(1+Assumptions!$C$10)+Assumptions!$C$19+(Assumptions!$C$28*Assumptions!$C$5)+(Assumptions!$C$29*$B6*Assumptions!$C$5*Assumptions!$C$25)+(D$5*Assumptions!$C$34+(Assumptions!$C$36+Assumptions!$C$37)*Assumptions!$C$5)*(Assumptions!$C$30-1)/12)</f>
        <v>5.4310304709409334E-2</v>
      </c>
      <c r="E6" s="47">
        <f>(12*$B6*Assumptions!$C$5*(1-Assumptions!$C$41-Assumptions!$C$39)-Assumptions!$C$41*(E$5*Assumptions!$C$34+(Assumptions!$C$36+Assumptions!$C$37)*Assumptions!$C$5))/(E$5*(1+Assumptions!$C$10)+Assumptions!$C$19+(Assumptions!$C$28*Assumptions!$C$5)+(Assumptions!$C$29*$B6*Assumptions!$C$5*Assumptions!$C$25)+(E$5*Assumptions!$C$34+(Assumptions!$C$36+Assumptions!$C$37)*Assumptions!$C$5)*(Assumptions!$C$30-1)/12)</f>
        <v>5.197152204520198E-2</v>
      </c>
      <c r="F6" s="47">
        <f>(12*$B6*Assumptions!$C$5*(1-Assumptions!$C$41-Assumptions!$C$39)-Assumptions!$C$41*(F$5*Assumptions!$C$34+(Assumptions!$C$36+Assumptions!$C$37)*Assumptions!$C$5))/(F$5*(1+Assumptions!$C$10)+Assumptions!$C$19+(Assumptions!$C$28*Assumptions!$C$5)+(Assumptions!$C$29*$B6*Assumptions!$C$5*Assumptions!$C$25)+(F$5*Assumptions!$C$34+(Assumptions!$C$36+Assumptions!$C$37)*Assumptions!$C$5)*(Assumptions!$C$30-1)/12)</f>
        <v>4.9823892909331056E-2</v>
      </c>
      <c r="G6" s="47">
        <f>(12*$B6*Assumptions!$C$5*(1-Assumptions!$C$41-Assumptions!$C$39)-Assumptions!$C$41*(G$5*Assumptions!$C$34+(Assumptions!$C$36+Assumptions!$C$37)*Assumptions!$C$5))/(G$5*(1+Assumptions!$C$10)+Assumptions!$C$19+(Assumptions!$C$28*Assumptions!$C$5)+(Assumptions!$C$29*$B6*Assumptions!$C$5*Assumptions!$C$25)+(G$5*Assumptions!$C$34+(Assumptions!$C$36+Assumptions!$C$37)*Assumptions!$C$5)*(Assumptions!$C$30-1)/12)</f>
        <v>4.673038165830707E-2</v>
      </c>
    </row>
    <row r="7" spans="2:7" x14ac:dyDescent="0.2">
      <c r="B7" s="46">
        <v>1.9</v>
      </c>
      <c r="C7" s="47">
        <f>(12*$B7*Assumptions!$C$5*(1-Assumptions!$C$41-Assumptions!$C$39)-Assumptions!$C$41*(C$5*Assumptions!$C$34+(Assumptions!$C$36+Assumptions!$C$37)*Assumptions!$C$5))/(C$5*(1+Assumptions!$C$10)+Assumptions!$C$19+(Assumptions!$C$28*Assumptions!$C$5)+(Assumptions!$C$29*$B7*Assumptions!$C$5*Assumptions!$C$25)+(C$5*Assumptions!$C$34+(Assumptions!$C$36+Assumptions!$C$37)*Assumptions!$C$5)*(Assumptions!$C$30-1)/12)</f>
        <v>6.0011732150800877E-2</v>
      </c>
      <c r="D7" s="47">
        <f>(12*$B7*Assumptions!$C$5*(1-Assumptions!$C$41-Assumptions!$C$39)-Assumptions!$C$41*(D$5*Assumptions!$C$34+(Assumptions!$C$36+Assumptions!$C$37)*Assumptions!$C$5))/(D$5*(1+Assumptions!$C$10)+Assumptions!$C$19+(Assumptions!$C$28*Assumptions!$C$5)+(Assumptions!$C$29*$B7*Assumptions!$C$5*Assumptions!$C$25)+(D$5*Assumptions!$C$34+(Assumptions!$C$36+Assumptions!$C$37)*Assumptions!$C$5)*(Assumptions!$C$30-1)/12)</f>
        <v>5.7317369426827663E-2</v>
      </c>
      <c r="E7" s="47">
        <f>(12*$B7*Assumptions!$C$5*(1-Assumptions!$C$41-Assumptions!$C$39)-Assumptions!$C$41*(E$5*Assumptions!$C$34+(Assumptions!$C$36+Assumptions!$C$37)*Assumptions!$C$5))/(E$5*(1+Assumptions!$C$10)+Assumptions!$C$19+(Assumptions!$C$28*Assumptions!$C$5)+(Assumptions!$C$29*$B7*Assumptions!$C$5*Assumptions!$C$25)+(E$5*Assumptions!$C$34+(Assumptions!$C$36+Assumptions!$C$37)*Assumptions!$C$5)*(Assumptions!$C$30-1)/12)</f>
        <v>5.4852422989159572E-2</v>
      </c>
      <c r="F7" s="47">
        <f>(12*$B7*Assumptions!$C$5*(1-Assumptions!$C$41-Assumptions!$C$39)-Assumptions!$C$41*(F$5*Assumptions!$C$34+(Assumptions!$C$36+Assumptions!$C$37)*Assumptions!$C$5))/(F$5*(1+Assumptions!$C$10)+Assumptions!$C$19+(Assumptions!$C$28*Assumptions!$C$5)+(Assumptions!$C$29*$B7*Assumptions!$C$5*Assumptions!$C$25)+(F$5*Assumptions!$C$34+(Assumptions!$C$36+Assumptions!$C$37)*Assumptions!$C$5)*(Assumptions!$C$30-1)/12)</f>
        <v>5.2588788260743403E-2</v>
      </c>
      <c r="G7" s="47">
        <f>(12*$B7*Assumptions!$C$5*(1-Assumptions!$C$41-Assumptions!$C$39)-Assumptions!$C$41*(G$5*Assumptions!$C$34+(Assumptions!$C$36+Assumptions!$C$37)*Assumptions!$C$5))/(G$5*(1+Assumptions!$C$10)+Assumptions!$C$19+(Assumptions!$C$28*Assumptions!$C$5)+(Assumptions!$C$29*$B7*Assumptions!$C$5*Assumptions!$C$25)+(G$5*Assumptions!$C$34+(Assumptions!$C$36+Assumptions!$C$37)*Assumptions!$C$5)*(Assumptions!$C$30-1)/12)</f>
        <v>4.9327920738253456E-2</v>
      </c>
    </row>
    <row r="8" spans="2:7" x14ac:dyDescent="0.2">
      <c r="B8" s="46">
        <v>2</v>
      </c>
      <c r="C8" s="47">
        <f>(12*$B8*Assumptions!$C$5*(1-Assumptions!$C$41-Assumptions!$C$39)-Assumptions!$C$41*(C$5*Assumptions!$C$34+(Assumptions!$C$36+Assumptions!$C$37)*Assumptions!$C$5))/(C$5*(1+Assumptions!$C$10)+Assumptions!$C$19+(Assumptions!$C$28*Assumptions!$C$5)+(Assumptions!$C$29*$B8*Assumptions!$C$5*Assumptions!$C$25)+(C$5*Assumptions!$C$34+(Assumptions!$C$36+Assumptions!$C$37)*Assumptions!$C$5)*(Assumptions!$C$30-1)/12)</f>
        <v>6.3151059358449113E-2</v>
      </c>
      <c r="D8" s="47">
        <f>(12*$B8*Assumptions!$C$5*(1-Assumptions!$C$41-Assumptions!$C$39)-Assumptions!$C$41*(D$5*Assumptions!$C$34+(Assumptions!$C$36+Assumptions!$C$37)*Assumptions!$C$5))/(D$5*(1+Assumptions!$C$10)+Assumptions!$C$19+(Assumptions!$C$28*Assumptions!$C$5)+(Assumptions!$C$29*$B8*Assumptions!$C$5*Assumptions!$C$25)+(D$5*Assumptions!$C$34+(Assumptions!$C$36+Assumptions!$C$37)*Assumptions!$C$5)*(Assumptions!$C$30-1)/12)</f>
        <v>6.0319450295325698E-2</v>
      </c>
      <c r="E8" s="47">
        <f>(12*$B8*Assumptions!$C$5*(1-Assumptions!$C$41-Assumptions!$C$39)-Assumptions!$C$41*(E$5*Assumptions!$C$34+(Assumptions!$C$36+Assumptions!$C$37)*Assumptions!$C$5))/(E$5*(1+Assumptions!$C$10)+Assumptions!$C$19+(Assumptions!$C$28*Assumptions!$C$5)+(Assumptions!$C$29*$B8*Assumptions!$C$5*Assumptions!$C$25)+(E$5*Assumptions!$C$34+(Assumptions!$C$36+Assumptions!$C$37)*Assumptions!$C$5)*(Assumptions!$C$30-1)/12)</f>
        <v>5.7728752301394765E-2</v>
      </c>
      <c r="F8" s="47">
        <f>(12*$B8*Assumptions!$C$5*(1-Assumptions!$C$41-Assumptions!$C$39)-Assumptions!$C$41*(F$5*Assumptions!$C$34+(Assumptions!$C$36+Assumptions!$C$37)*Assumptions!$C$5))/(F$5*(1+Assumptions!$C$10)+Assumptions!$C$19+(Assumptions!$C$28*Assumptions!$C$5)+(Assumptions!$C$29*$B8*Assumptions!$C$5*Assumptions!$C$25)+(F$5*Assumptions!$C$34+(Assumptions!$C$36+Assumptions!$C$37)*Assumptions!$C$5)*(Assumptions!$C$30-1)/12)</f>
        <v>5.5349475095530183E-2</v>
      </c>
      <c r="G8" s="47">
        <f>(12*$B8*Assumptions!$C$5*(1-Assumptions!$C$41-Assumptions!$C$39)-Assumptions!$C$41*(G$5*Assumptions!$C$34+(Assumptions!$C$36+Assumptions!$C$37)*Assumptions!$C$5))/(G$5*(1+Assumptions!$C$10)+Assumptions!$C$19+(Assumptions!$C$28*Assumptions!$C$5)+(Assumptions!$C$29*$B8*Assumptions!$C$5*Assumptions!$C$25)+(G$5*Assumptions!$C$34+(Assumptions!$C$36+Assumptions!$C$37)*Assumptions!$C$5)*(Assumptions!$C$30-1)/12)</f>
        <v>5.1921748346366745E-2</v>
      </c>
    </row>
    <row r="9" spans="2:7" x14ac:dyDescent="0.2">
      <c r="B9" s="46">
        <v>2.1</v>
      </c>
      <c r="C9" s="47">
        <f>(12*$B9*Assumptions!$C$5*(1-Assumptions!$C$41-Assumptions!$C$39)-Assumptions!$C$41*(C$5*Assumptions!$C$34+(Assumptions!$C$36+Assumptions!$C$37)*Assumptions!$C$5))/(C$5*(1+Assumptions!$C$10)+Assumptions!$C$19+(Assumptions!$C$28*Assumptions!$C$5)+(Assumptions!$C$29*$B9*Assumptions!$C$5*Assumptions!$C$25)+(C$5*Assumptions!$C$34+(Assumptions!$C$36+Assumptions!$C$37)*Assumptions!$C$5)*(Assumptions!$C$30-1)/12)</f>
        <v>6.6284946307614515E-2</v>
      </c>
      <c r="D9" s="47">
        <f>(12*$B9*Assumptions!$C$5*(1-Assumptions!$C$41-Assumptions!$C$39)-Assumptions!$C$41*(D$5*Assumptions!$C$34+(Assumptions!$C$36+Assumptions!$C$37)*Assumptions!$C$5))/(D$5*(1+Assumptions!$C$10)+Assumptions!$C$19+(Assumptions!$C$28*Assumptions!$C$5)+(Assumptions!$C$29*$B9*Assumptions!$C$5*Assumptions!$C$25)+(D$5*Assumptions!$C$34+(Assumptions!$C$36+Assumptions!$C$37)*Assumptions!$C$5)*(Assumptions!$C$30-1)/12)</f>
        <v>6.3316559694841568E-2</v>
      </c>
      <c r="E9" s="47">
        <f>(12*$B9*Assumptions!$C$5*(1-Assumptions!$C$41-Assumptions!$C$39)-Assumptions!$C$41*(E$5*Assumptions!$C$34+(Assumptions!$C$36+Assumptions!$C$37)*Assumptions!$C$5))/(E$5*(1+Assumptions!$C$10)+Assumptions!$C$19+(Assumptions!$C$28*Assumptions!$C$5)+(Assumptions!$C$29*$B9*Assumptions!$C$5*Assumptions!$C$25)+(E$5*Assumptions!$C$34+(Assumptions!$C$36+Assumptions!$C$37)*Assumptions!$C$5)*(Assumptions!$C$30-1)/12)</f>
        <v>6.0600520855197224E-2</v>
      </c>
      <c r="F9" s="47">
        <f>(12*$B9*Assumptions!$C$5*(1-Assumptions!$C$41-Assumptions!$C$39)-Assumptions!$C$41*(F$5*Assumptions!$C$34+(Assumptions!$C$36+Assumptions!$C$37)*Assumptions!$C$5))/(F$5*(1+Assumptions!$C$10)+Assumptions!$C$19+(Assumptions!$C$28*Assumptions!$C$5)+(Assumptions!$C$29*$B9*Assumptions!$C$5*Assumptions!$C$25)+(F$5*Assumptions!$C$34+(Assumptions!$C$36+Assumptions!$C$37)*Assumptions!$C$5)*(Assumptions!$C$30-1)/12)</f>
        <v>5.8105963015217227E-2</v>
      </c>
      <c r="G9" s="47">
        <f>(12*$B9*Assumptions!$C$5*(1-Assumptions!$C$41-Assumptions!$C$39)-Assumptions!$C$41*(G$5*Assumptions!$C$34+(Assumptions!$C$36+Assumptions!$C$37)*Assumptions!$C$5))/(G$5*(1+Assumptions!$C$10)+Assumptions!$C$19+(Assumptions!$C$28*Assumptions!$C$5)+(Assumptions!$C$29*$B9*Assumptions!$C$5*Assumptions!$C$25)+(G$5*Assumptions!$C$34+(Assumptions!$C$36+Assumptions!$C$37)*Assumptions!$C$5)*(Assumptions!$C$30-1)/12)</f>
        <v>5.4511872431625891E-2</v>
      </c>
    </row>
    <row r="10" spans="2:7" x14ac:dyDescent="0.2">
      <c r="B10" s="46">
        <v>2.2000000000000002</v>
      </c>
      <c r="C10" s="47">
        <f>(12*$B10*Assumptions!$C$5*(1-Assumptions!$C$41-Assumptions!$C$39)-Assumptions!$C$41*(C$5*Assumptions!$C$34+(Assumptions!$C$36+Assumptions!$C$37)*Assumptions!$C$5))/(C$5*(1+Assumptions!$C$10)+Assumptions!$C$19+(Assumptions!$C$28*Assumptions!$C$5)+(Assumptions!$C$29*$B10*Assumptions!$C$5*Assumptions!$C$25)+(C$5*Assumptions!$C$34+(Assumptions!$C$36+Assumptions!$C$37)*Assumptions!$C$5)*(Assumptions!$C$30-1)/12)</f>
        <v>6.9413407127498147E-2</v>
      </c>
      <c r="D10" s="47">
        <f>(12*$B10*Assumptions!$C$5*(1-Assumptions!$C$41-Assumptions!$C$39)-Assumptions!$C$41*(D$5*Assumptions!$C$34+(Assumptions!$C$36+Assumptions!$C$37)*Assumptions!$C$5))/(D$5*(1+Assumptions!$C$10)+Assumptions!$C$19+(Assumptions!$C$28*Assumptions!$C$5)+(Assumptions!$C$29*$B10*Assumptions!$C$5*Assumptions!$C$25)+(D$5*Assumptions!$C$34+(Assumptions!$C$36+Assumptions!$C$37)*Assumptions!$C$5)*(Assumptions!$C$30-1)/12)</f>
        <v>6.6308709964344834E-2</v>
      </c>
      <c r="E10" s="47">
        <f>(12*$B10*Assumptions!$C$5*(1-Assumptions!$C$41-Assumptions!$C$39)-Assumptions!$C$41*(E$5*Assumptions!$C$34+(Assumptions!$C$36+Assumptions!$C$37)*Assumptions!$C$5))/(E$5*(1+Assumptions!$C$10)+Assumptions!$C$19+(Assumptions!$C$28*Assumptions!$C$5)+(Assumptions!$C$29*$B10*Assumptions!$C$5*Assumptions!$C$25)+(E$5*Assumptions!$C$34+(Assumptions!$C$36+Assumptions!$C$37)*Assumptions!$C$5)*(Assumptions!$C$30-1)/12)</f>
        <v>6.346773948940225E-2</v>
      </c>
      <c r="F10" s="47">
        <f>(12*$B10*Assumptions!$C$5*(1-Assumptions!$C$41-Assumptions!$C$39)-Assumptions!$C$41*(F$5*Assumptions!$C$34+(Assumptions!$C$36+Assumptions!$C$37)*Assumptions!$C$5))/(F$5*(1+Assumptions!$C$10)+Assumptions!$C$19+(Assumptions!$C$28*Assumptions!$C$5)+(Assumptions!$C$29*$B10*Assumptions!$C$5*Assumptions!$C$25)+(F$5*Assumptions!$C$34+(Assumptions!$C$36+Assumptions!$C$37)*Assumptions!$C$5)*(Assumptions!$C$30-1)/12)</f>
        <v>6.0858261592145378E-2</v>
      </c>
      <c r="G10" s="47">
        <f>(12*$B10*Assumptions!$C$5*(1-Assumptions!$C$41-Assumptions!$C$39)-Assumptions!$C$41*(G$5*Assumptions!$C$34+(Assumptions!$C$36+Assumptions!$C$37)*Assumptions!$C$5))/(G$5*(1+Assumptions!$C$10)+Assumptions!$C$19+(Assumptions!$C$28*Assumptions!$C$5)+(Assumptions!$C$29*$B10*Assumptions!$C$5*Assumptions!$C$25)+(G$5*Assumptions!$C$34+(Assumptions!$C$36+Assumptions!$C$37)*Assumptions!$C$5)*(Assumptions!$C$30-1)/12)</f>
        <v>5.7098300920326639E-2</v>
      </c>
    </row>
    <row r="11" spans="2:7" x14ac:dyDescent="0.2">
      <c r="B11" s="46">
        <v>2.2999999999999998</v>
      </c>
      <c r="C11" s="47">
        <f>(12*$B11*Assumptions!$C$5*(1-Assumptions!$C$41-Assumptions!$C$39)-Assumptions!$C$41*(C$5*Assumptions!$C$34+(Assumptions!$C$36+Assumptions!$C$37)*Assumptions!$C$5))/(C$5*(1+Assumptions!$C$10)+Assumptions!$C$19+(Assumptions!$C$28*Assumptions!$C$5)+(Assumptions!$C$29*$B11*Assumptions!$C$5*Assumptions!$C$25)+(C$5*Assumptions!$C$34+(Assumptions!$C$36+Assumptions!$C$37)*Assumptions!$C$5)*(Assumptions!$C$30-1)/12)</f>
        <v>7.2536455898415717E-2</v>
      </c>
      <c r="D11" s="47">
        <f>(12*$B11*Assumptions!$C$5*(1-Assumptions!$C$41-Assumptions!$C$39)-Assumptions!$C$41*(D$5*Assumptions!$C$34+(Assumptions!$C$36+Assumptions!$C$37)*Assumptions!$C$5))/(D$5*(1+Assumptions!$C$10)+Assumptions!$C$19+(Assumptions!$C$28*Assumptions!$C$5)+(Assumptions!$C$29*$B11*Assumptions!$C$5*Assumptions!$C$25)+(D$5*Assumptions!$C$34+(Assumptions!$C$36+Assumptions!$C$37)*Assumptions!$C$5)*(Assumptions!$C$30-1)/12)</f>
        <v>6.9295913402005666E-2</v>
      </c>
      <c r="E11" s="47">
        <f>(12*$B11*Assumptions!$C$5*(1-Assumptions!$C$41-Assumptions!$C$39)-Assumptions!$C$41*(E$5*Assumptions!$C$34+(Assumptions!$C$36+Assumptions!$C$37)*Assumptions!$C$5))/(E$5*(1+Assumptions!$C$10)+Assumptions!$C$19+(Assumptions!$C$28*Assumptions!$C$5)+(Assumptions!$C$29*$B11*Assumptions!$C$5*Assumptions!$C$25)+(E$5*Assumptions!$C$34+(Assumptions!$C$36+Assumptions!$C$37)*Assumptions!$C$5)*(Assumptions!$C$30-1)/12)</f>
        <v>6.6330419008526972E-2</v>
      </c>
      <c r="F11" s="47">
        <f>(12*$B11*Assumptions!$C$5*(1-Assumptions!$C$41-Assumptions!$C$39)-Assumptions!$C$41*(F$5*Assumptions!$C$34+(Assumptions!$C$36+Assumptions!$C$37)*Assumptions!$C$5))/(F$5*(1+Assumptions!$C$10)+Assumptions!$C$19+(Assumptions!$C$28*Assumptions!$C$5)+(Assumptions!$C$29*$B11*Assumptions!$C$5*Assumptions!$C$25)+(F$5*Assumptions!$C$34+(Assumptions!$C$36+Assumptions!$C$37)*Assumptions!$C$5)*(Assumptions!$C$30-1)/12)</f>
        <v>6.3606380369581217E-2</v>
      </c>
      <c r="G11" s="47">
        <f>(12*$B11*Assumptions!$C$5*(1-Assumptions!$C$41-Assumptions!$C$39)-Assumptions!$C$41*(G$5*Assumptions!$C$34+(Assumptions!$C$36+Assumptions!$C$37)*Assumptions!$C$5))/(G$5*(1+Assumptions!$C$10)+Assumptions!$C$19+(Assumptions!$C$28*Assumptions!$C$5)+(Assumptions!$C$29*$B11*Assumptions!$C$5*Assumptions!$C$25)+(G$5*Assumptions!$C$34+(Assumptions!$C$36+Assumptions!$C$37)*Assumptions!$C$5)*(Assumptions!$C$30-1)/12)</f>
        <v>5.9681041716162307E-2</v>
      </c>
    </row>
    <row r="14" spans="2:7" x14ac:dyDescent="0.2">
      <c r="B14" s="4" t="s">
        <v>240</v>
      </c>
    </row>
    <row r="15" spans="2:7" x14ac:dyDescent="0.2">
      <c r="B15" s="9" t="s">
        <v>241</v>
      </c>
    </row>
    <row r="16" spans="2:7" x14ac:dyDescent="0.2">
      <c r="B16" s="28" t="s">
        <v>239</v>
      </c>
      <c r="C16" s="48">
        <v>0.06</v>
      </c>
      <c r="D16" s="48">
        <v>6.25E-2</v>
      </c>
      <c r="E16" s="48">
        <v>6.5000000000000002E-2</v>
      </c>
      <c r="F16" s="48">
        <v>6.7500000000000004E-2</v>
      </c>
      <c r="G16" s="48">
        <v>7.0000000000000007E-2</v>
      </c>
    </row>
    <row r="17" spans="2:7" x14ac:dyDescent="0.2">
      <c r="B17" s="46">
        <v>1.8</v>
      </c>
      <c r="C17" s="49">
        <f>(12*$B17*Assumptions!$C$5*(1-Assumptions!$C$41-Assumptions!$C$39)-Assumptions!$C$41*(Assumptions!$C$36+Assumptions!$C$37)*Assumptions!$C$5-C$16*(Assumptions!$C$19+(Assumptions!$C$28*Assumptions!$C$5)+(Assumptions!$C$29*$B17*Assumptions!$C$5*Assumptions!$C$25)+(Assumptions!$C$36+Assumptions!$C$37)*Assumptions!$C$5*(Assumptions!$C$30-1)/12))/(C$16*(1+Assumptions!$C$10+Assumptions!$C$34*(Assumptions!$C$30-1)/12)+Assumptions!$C$41*Assumptions!$C$34)</f>
        <v>7944819.6257197689</v>
      </c>
      <c r="D17" s="49">
        <f>(12*$B17*Assumptions!$C$5*(1-Assumptions!$C$41-Assumptions!$C$39)-Assumptions!$C$41*(Assumptions!$C$36+Assumptions!$C$37)*Assumptions!$C$5-D$16*(Assumptions!$C$19+(Assumptions!$C$28*Assumptions!$C$5)+(Assumptions!$C$29*$B17*Assumptions!$C$5*Assumptions!$C$25)+(Assumptions!$C$36+Assumptions!$C$37)*Assumptions!$C$5*(Assumptions!$C$30-1)/12))/(D$16*(1+Assumptions!$C$10+Assumptions!$C$34*(Assumptions!$C$30-1)/12)+Assumptions!$C$41*Assumptions!$C$34)</f>
        <v>7541375.7795698922</v>
      </c>
      <c r="E17" s="49">
        <f>(12*$B17*Assumptions!$C$5*(1-Assumptions!$C$41-Assumptions!$C$39)-Assumptions!$C$41*(Assumptions!$C$36+Assumptions!$C$37)*Assumptions!$C$5-E$16*(Assumptions!$C$19+(Assumptions!$C$28*Assumptions!$C$5)+(Assumptions!$C$29*$B17*Assumptions!$C$5*Assumptions!$C$25)+(Assumptions!$C$36+Assumptions!$C$37)*Assumptions!$C$5*(Assumptions!$C$30-1)/12))/(E$16*(1+Assumptions!$C$10+Assumptions!$C$34*(Assumptions!$C$30-1)/12)+Assumptions!$C$41*Assumptions!$C$34)</f>
        <v>7168690.950059101</v>
      </c>
      <c r="F17" s="49">
        <f>(12*$B17*Assumptions!$C$5*(1-Assumptions!$C$41-Assumptions!$C$39)-Assumptions!$C$41*(Assumptions!$C$36+Assumptions!$C$37)*Assumptions!$C$5-F$16*(Assumptions!$C$19+(Assumptions!$C$28*Assumptions!$C$5)+(Assumptions!$C$29*$B17*Assumptions!$C$5*Assumptions!$C$25)+(Assumptions!$C$36+Assumptions!$C$37)*Assumptions!$C$5*(Assumptions!$C$30-1)/12))/(F$16*(1+Assumptions!$C$10+Assumptions!$C$34*(Assumptions!$C$30-1)/12)+Assumptions!$C$41*Assumptions!$C$34)</f>
        <v>6823376.6545687448</v>
      </c>
      <c r="G17" s="49">
        <f>(12*$B17*Assumptions!$C$5*(1-Assumptions!$C$41-Assumptions!$C$39)-Assumptions!$C$41*(Assumptions!$C$36+Assumptions!$C$37)*Assumptions!$C$5-G$16*(Assumptions!$C$19+(Assumptions!$C$28*Assumptions!$C$5)+(Assumptions!$C$29*$B17*Assumptions!$C$5*Assumptions!$C$25)+(Assumptions!$C$36+Assumptions!$C$37)*Assumptions!$C$5*(Assumptions!$C$30-1)/12))/(G$16*(1+Assumptions!$C$10+Assumptions!$C$34*(Assumptions!$C$30-1)/12)+Assumptions!$C$41*Assumptions!$C$34)</f>
        <v>6502524.492037341</v>
      </c>
    </row>
    <row r="18" spans="2:7" x14ac:dyDescent="0.2">
      <c r="B18" s="46">
        <v>1.9</v>
      </c>
      <c r="C18" s="49">
        <f>(12*$B18*Assumptions!$C$5*(1-Assumptions!$C$41-Assumptions!$C$39)-Assumptions!$C$41*(Assumptions!$C$36+Assumptions!$C$37)*Assumptions!$C$5-C$16*(Assumptions!$C$19+(Assumptions!$C$28*Assumptions!$C$5)+(Assumptions!$C$29*$B18*Assumptions!$C$5*Assumptions!$C$25)+(Assumptions!$C$36+Assumptions!$C$37)*Assumptions!$C$5*(Assumptions!$C$30-1)/12))/(C$16*(1+Assumptions!$C$10+Assumptions!$C$34*(Assumptions!$C$30-1)/12)+Assumptions!$C$41*Assumptions!$C$34)</f>
        <v>8502080.7581573874</v>
      </c>
      <c r="D18" s="49">
        <f>(12*$B18*Assumptions!$C$5*(1-Assumptions!$C$41-Assumptions!$C$39)-Assumptions!$C$41*(Assumptions!$C$36+Assumptions!$C$37)*Assumptions!$C$5-D$16*(Assumptions!$C$19+(Assumptions!$C$28*Assumptions!$C$5)+(Assumptions!$C$29*$B18*Assumptions!$C$5*Assumptions!$C$25)+(Assumptions!$C$36+Assumptions!$C$37)*Assumptions!$C$5*(Assumptions!$C$30-1)/12))/(D$16*(1+Assumptions!$C$10+Assumptions!$C$34*(Assumptions!$C$30-1)/12)+Assumptions!$C$41*Assumptions!$C$34)</f>
        <v>8076182.3118279558</v>
      </c>
      <c r="E18" s="49">
        <f>(12*$B18*Assumptions!$C$5*(1-Assumptions!$C$41-Assumptions!$C$39)-Assumptions!$C$41*(Assumptions!$C$36+Assumptions!$C$37)*Assumptions!$C$5-E$16*(Assumptions!$C$19+(Assumptions!$C$28*Assumptions!$C$5)+(Assumptions!$C$29*$B18*Assumptions!$C$5*Assumptions!$C$25)+(Assumptions!$C$36+Assumptions!$C$37)*Assumptions!$C$5*(Assumptions!$C$30-1)/12))/(E$16*(1+Assumptions!$C$10+Assumptions!$C$34*(Assumptions!$C$30-1)/12)+Assumptions!$C$41*Assumptions!$C$34)</f>
        <v>7682754.8463356951</v>
      </c>
      <c r="F18" s="49">
        <f>(12*$B18*Assumptions!$C$5*(1-Assumptions!$C$41-Assumptions!$C$39)-Assumptions!$C$41*(Assumptions!$C$36+Assumptions!$C$37)*Assumptions!$C$5-F$16*(Assumptions!$C$19+(Assumptions!$C$28*Assumptions!$C$5)+(Assumptions!$C$29*$B18*Assumptions!$C$5*Assumptions!$C$25)+(Assumptions!$C$36+Assumptions!$C$37)*Assumptions!$C$5*(Assumptions!$C$30-1)/12))/(F$16*(1+Assumptions!$C$10+Assumptions!$C$34*(Assumptions!$C$30-1)/12)+Assumptions!$C$41*Assumptions!$C$34)</f>
        <v>7318221.2852263013</v>
      </c>
      <c r="G18" s="49">
        <f>(12*$B18*Assumptions!$C$5*(1-Assumptions!$C$41-Assumptions!$C$39)-Assumptions!$C$41*(Assumptions!$C$36+Assumptions!$C$37)*Assumptions!$C$5-G$16*(Assumptions!$C$19+(Assumptions!$C$28*Assumptions!$C$5)+(Assumptions!$C$29*$B18*Assumptions!$C$5*Assumptions!$C$25)+(Assumptions!$C$36+Assumptions!$C$37)*Assumptions!$C$5*(Assumptions!$C$30-1)/12))/(G$16*(1+Assumptions!$C$10+Assumptions!$C$34*(Assumptions!$C$30-1)/12)+Assumptions!$C$41*Assumptions!$C$34)</f>
        <v>6979511.3536518356</v>
      </c>
    </row>
    <row r="19" spans="2:7" x14ac:dyDescent="0.2">
      <c r="B19" s="46">
        <v>2</v>
      </c>
      <c r="C19" s="49">
        <f>(12*$B19*Assumptions!$C$5*(1-Assumptions!$C$41-Assumptions!$C$39)-Assumptions!$C$41*(Assumptions!$C$36+Assumptions!$C$37)*Assumptions!$C$5-C$16*(Assumptions!$C$19+(Assumptions!$C$28*Assumptions!$C$5)+(Assumptions!$C$29*$B19*Assumptions!$C$5*Assumptions!$C$25)+(Assumptions!$C$36+Assumptions!$C$37)*Assumptions!$C$5*(Assumptions!$C$30-1)/12))/(C$16*(1+Assumptions!$C$10+Assumptions!$C$34*(Assumptions!$C$30-1)/12)+Assumptions!$C$41*Assumptions!$C$34)</f>
        <v>9059341.8905950096</v>
      </c>
      <c r="D19" s="49">
        <f>(12*$B19*Assumptions!$C$5*(1-Assumptions!$C$41-Assumptions!$C$39)-Assumptions!$C$41*(Assumptions!$C$36+Assumptions!$C$37)*Assumptions!$C$5-D$16*(Assumptions!$C$19+(Assumptions!$C$28*Assumptions!$C$5)+(Assumptions!$C$29*$B19*Assumptions!$C$5*Assumptions!$C$25)+(Assumptions!$C$36+Assumptions!$C$37)*Assumptions!$C$5*(Assumptions!$C$30-1)/12))/(D$16*(1+Assumptions!$C$10+Assumptions!$C$34*(Assumptions!$C$30-1)/12)+Assumptions!$C$41*Assumptions!$C$34)</f>
        <v>8610988.8440860212</v>
      </c>
      <c r="E19" s="49">
        <f>(12*$B19*Assumptions!$C$5*(1-Assumptions!$C$41-Assumptions!$C$39)-Assumptions!$C$41*(Assumptions!$C$36+Assumptions!$C$37)*Assumptions!$C$5-E$16*(Assumptions!$C$19+(Assumptions!$C$28*Assumptions!$C$5)+(Assumptions!$C$29*$B19*Assumptions!$C$5*Assumptions!$C$25)+(Assumptions!$C$36+Assumptions!$C$37)*Assumptions!$C$5*(Assumptions!$C$30-1)/12))/(E$16*(1+Assumptions!$C$10+Assumptions!$C$34*(Assumptions!$C$30-1)/12)+Assumptions!$C$41*Assumptions!$C$34)</f>
        <v>8196818.742612293</v>
      </c>
      <c r="F19" s="49">
        <f>(12*$B19*Assumptions!$C$5*(1-Assumptions!$C$41-Assumptions!$C$39)-Assumptions!$C$41*(Assumptions!$C$36+Assumptions!$C$37)*Assumptions!$C$5-F$16*(Assumptions!$C$19+(Assumptions!$C$28*Assumptions!$C$5)+(Assumptions!$C$29*$B19*Assumptions!$C$5*Assumptions!$C$25)+(Assumptions!$C$36+Assumptions!$C$37)*Assumptions!$C$5*(Assumptions!$C$30-1)/12))/(F$16*(1+Assumptions!$C$10+Assumptions!$C$34*(Assumptions!$C$30-1)/12)+Assumptions!$C$41*Assumptions!$C$34)</f>
        <v>7813065.9158838596</v>
      </c>
      <c r="G19" s="49">
        <f>(12*$B19*Assumptions!$C$5*(1-Assumptions!$C$41-Assumptions!$C$39)-Assumptions!$C$41*(Assumptions!$C$36+Assumptions!$C$37)*Assumptions!$C$5-G$16*(Assumptions!$C$19+(Assumptions!$C$28*Assumptions!$C$5)+(Assumptions!$C$29*$B19*Assumptions!$C$5*Assumptions!$C$25)+(Assumptions!$C$36+Assumptions!$C$37)*Assumptions!$C$5*(Assumptions!$C$30-1)/12))/(G$16*(1+Assumptions!$C$10+Assumptions!$C$34*(Assumptions!$C$30-1)/12)+Assumptions!$C$41*Assumptions!$C$34)</f>
        <v>7456498.2152663367</v>
      </c>
    </row>
    <row r="20" spans="2:7" x14ac:dyDescent="0.2">
      <c r="B20" s="46">
        <v>2.1</v>
      </c>
      <c r="C20" s="49">
        <f>(12*$B20*Assumptions!$C$5*(1-Assumptions!$C$41-Assumptions!$C$39)-Assumptions!$C$41*(Assumptions!$C$36+Assumptions!$C$37)*Assumptions!$C$5-C$16*(Assumptions!$C$19+(Assumptions!$C$28*Assumptions!$C$5)+(Assumptions!$C$29*$B20*Assumptions!$C$5*Assumptions!$C$25)+(Assumptions!$C$36+Assumptions!$C$37)*Assumptions!$C$5*(Assumptions!$C$30-1)/12))/(C$16*(1+Assumptions!$C$10+Assumptions!$C$34*(Assumptions!$C$30-1)/12)+Assumptions!$C$41*Assumptions!$C$34)</f>
        <v>9616603.0230326299</v>
      </c>
      <c r="D20" s="49">
        <f>(12*$B20*Assumptions!$C$5*(1-Assumptions!$C$41-Assumptions!$C$39)-Assumptions!$C$41*(Assumptions!$C$36+Assumptions!$C$37)*Assumptions!$C$5-D$16*(Assumptions!$C$19+(Assumptions!$C$28*Assumptions!$C$5)+(Assumptions!$C$29*$B20*Assumptions!$C$5*Assumptions!$C$25)+(Assumptions!$C$36+Assumptions!$C$37)*Assumptions!$C$5*(Assumptions!$C$30-1)/12))/(D$16*(1+Assumptions!$C$10+Assumptions!$C$34*(Assumptions!$C$30-1)/12)+Assumptions!$C$41*Assumptions!$C$34)</f>
        <v>9145795.3763440866</v>
      </c>
      <c r="E20" s="49">
        <f>(12*$B20*Assumptions!$C$5*(1-Assumptions!$C$41-Assumptions!$C$39)-Assumptions!$C$41*(Assumptions!$C$36+Assumptions!$C$37)*Assumptions!$C$5-E$16*(Assumptions!$C$19+(Assumptions!$C$28*Assumptions!$C$5)+(Assumptions!$C$29*$B20*Assumptions!$C$5*Assumptions!$C$25)+(Assumptions!$C$36+Assumptions!$C$37)*Assumptions!$C$5*(Assumptions!$C$30-1)/12))/(E$16*(1+Assumptions!$C$10+Assumptions!$C$34*(Assumptions!$C$30-1)/12)+Assumptions!$C$41*Assumptions!$C$34)</f>
        <v>8710882.6388888881</v>
      </c>
      <c r="F20" s="49">
        <f>(12*$B20*Assumptions!$C$5*(1-Assumptions!$C$41-Assumptions!$C$39)-Assumptions!$C$41*(Assumptions!$C$36+Assumptions!$C$37)*Assumptions!$C$5-F$16*(Assumptions!$C$19+(Assumptions!$C$28*Assumptions!$C$5)+(Assumptions!$C$29*$B20*Assumptions!$C$5*Assumptions!$C$25)+(Assumptions!$C$36+Assumptions!$C$37)*Assumptions!$C$5*(Assumptions!$C$30-1)/12))/(F$16*(1+Assumptions!$C$10+Assumptions!$C$34*(Assumptions!$C$30-1)/12)+Assumptions!$C$41*Assumptions!$C$34)</f>
        <v>8307910.5465414179</v>
      </c>
      <c r="G20" s="49">
        <f>(12*$B20*Assumptions!$C$5*(1-Assumptions!$C$41-Assumptions!$C$39)-Assumptions!$C$41*(Assumptions!$C$36+Assumptions!$C$37)*Assumptions!$C$5-G$16*(Assumptions!$C$19+(Assumptions!$C$28*Assumptions!$C$5)+(Assumptions!$C$29*$B20*Assumptions!$C$5*Assumptions!$C$25)+(Assumptions!$C$36+Assumptions!$C$37)*Assumptions!$C$5*(Assumptions!$C$30-1)/12))/(G$16*(1+Assumptions!$C$10+Assumptions!$C$34*(Assumptions!$C$30-1)/12)+Assumptions!$C$41*Assumptions!$C$34)</f>
        <v>7933485.0768808341</v>
      </c>
    </row>
    <row r="21" spans="2:7" x14ac:dyDescent="0.2">
      <c r="B21" s="46">
        <v>2.2000000000000002</v>
      </c>
      <c r="C21" s="49">
        <f>(12*$B21*Assumptions!$C$5*(1-Assumptions!$C$41-Assumptions!$C$39)-Assumptions!$C$41*(Assumptions!$C$36+Assumptions!$C$37)*Assumptions!$C$5-C$16*(Assumptions!$C$19+(Assumptions!$C$28*Assumptions!$C$5)+(Assumptions!$C$29*$B21*Assumptions!$C$5*Assumptions!$C$25)+(Assumptions!$C$36+Assumptions!$C$37)*Assumptions!$C$5*(Assumptions!$C$30-1)/12))/(C$16*(1+Assumptions!$C$10+Assumptions!$C$34*(Assumptions!$C$30-1)/12)+Assumptions!$C$41*Assumptions!$C$34)</f>
        <v>10173864.155470248</v>
      </c>
      <c r="D21" s="49">
        <f>(12*$B21*Assumptions!$C$5*(1-Assumptions!$C$41-Assumptions!$C$39)-Assumptions!$C$41*(Assumptions!$C$36+Assumptions!$C$37)*Assumptions!$C$5-D$16*(Assumptions!$C$19+(Assumptions!$C$28*Assumptions!$C$5)+(Assumptions!$C$29*$B21*Assumptions!$C$5*Assumptions!$C$25)+(Assumptions!$C$36+Assumptions!$C$37)*Assumptions!$C$5*(Assumptions!$C$30-1)/12))/(D$16*(1+Assumptions!$C$10+Assumptions!$C$34*(Assumptions!$C$30-1)/12)+Assumptions!$C$41*Assumptions!$C$34)</f>
        <v>9680601.9086021502</v>
      </c>
      <c r="E21" s="49">
        <f>(12*$B21*Assumptions!$C$5*(1-Assumptions!$C$41-Assumptions!$C$39)-Assumptions!$C$41*(Assumptions!$C$36+Assumptions!$C$37)*Assumptions!$C$5-E$16*(Assumptions!$C$19+(Assumptions!$C$28*Assumptions!$C$5)+(Assumptions!$C$29*$B21*Assumptions!$C$5*Assumptions!$C$25)+(Assumptions!$C$36+Assumptions!$C$37)*Assumptions!$C$5*(Assumptions!$C$30-1)/12))/(E$16*(1+Assumptions!$C$10+Assumptions!$C$34*(Assumptions!$C$30-1)/12)+Assumptions!$C$41*Assumptions!$C$34)</f>
        <v>9224946.535165485</v>
      </c>
      <c r="F21" s="49">
        <f>(12*$B21*Assumptions!$C$5*(1-Assumptions!$C$41-Assumptions!$C$39)-Assumptions!$C$41*(Assumptions!$C$36+Assumptions!$C$37)*Assumptions!$C$5-F$16*(Assumptions!$C$19+(Assumptions!$C$28*Assumptions!$C$5)+(Assumptions!$C$29*$B21*Assumptions!$C$5*Assumptions!$C$25)+(Assumptions!$C$36+Assumptions!$C$37)*Assumptions!$C$5*(Assumptions!$C$30-1)/12))/(F$16*(1+Assumptions!$C$10+Assumptions!$C$34*(Assumptions!$C$30-1)/12)+Assumptions!$C$41*Assumptions!$C$34)</f>
        <v>8802755.1771989744</v>
      </c>
      <c r="G21" s="49">
        <f>(12*$B21*Assumptions!$C$5*(1-Assumptions!$C$41-Assumptions!$C$39)-Assumptions!$C$41*(Assumptions!$C$36+Assumptions!$C$37)*Assumptions!$C$5-G$16*(Assumptions!$C$19+(Assumptions!$C$28*Assumptions!$C$5)+(Assumptions!$C$29*$B21*Assumptions!$C$5*Assumptions!$C$25)+(Assumptions!$C$36+Assumptions!$C$37)*Assumptions!$C$5*(Assumptions!$C$30-1)/12))/(G$16*(1+Assumptions!$C$10+Assumptions!$C$34*(Assumptions!$C$30-1)/12)+Assumptions!$C$41*Assumptions!$C$34)</f>
        <v>8410471.9384953305</v>
      </c>
    </row>
    <row r="22" spans="2:7" x14ac:dyDescent="0.2">
      <c r="B22" s="46">
        <v>2.2999999999999998</v>
      </c>
      <c r="C22" s="49">
        <f>(12*$B22*Assumptions!$C$5*(1-Assumptions!$C$41-Assumptions!$C$39)-Assumptions!$C$41*(Assumptions!$C$36+Assumptions!$C$37)*Assumptions!$C$5-C$16*(Assumptions!$C$19+(Assumptions!$C$28*Assumptions!$C$5)+(Assumptions!$C$29*$B22*Assumptions!$C$5*Assumptions!$C$25)+(Assumptions!$C$36+Assumptions!$C$37)*Assumptions!$C$5*(Assumptions!$C$30-1)/12))/(C$16*(1+Assumptions!$C$10+Assumptions!$C$34*(Assumptions!$C$30-1)/12)+Assumptions!$C$41*Assumptions!$C$34)</f>
        <v>10731125.287907869</v>
      </c>
      <c r="D22" s="49">
        <f>(12*$B22*Assumptions!$C$5*(1-Assumptions!$C$41-Assumptions!$C$39)-Assumptions!$C$41*(Assumptions!$C$36+Assumptions!$C$37)*Assumptions!$C$5-D$16*(Assumptions!$C$19+(Assumptions!$C$28*Assumptions!$C$5)+(Assumptions!$C$29*$B22*Assumptions!$C$5*Assumptions!$C$25)+(Assumptions!$C$36+Assumptions!$C$37)*Assumptions!$C$5*(Assumptions!$C$30-1)/12))/(D$16*(1+Assumptions!$C$10+Assumptions!$C$34*(Assumptions!$C$30-1)/12)+Assumptions!$C$41*Assumptions!$C$34)</f>
        <v>10215408.440860212</v>
      </c>
      <c r="E22" s="49">
        <f>(12*$B22*Assumptions!$C$5*(1-Assumptions!$C$41-Assumptions!$C$39)-Assumptions!$C$41*(Assumptions!$C$36+Assumptions!$C$37)*Assumptions!$C$5-E$16*(Assumptions!$C$19+(Assumptions!$C$28*Assumptions!$C$5)+(Assumptions!$C$29*$B22*Assumptions!$C$5*Assumptions!$C$25)+(Assumptions!$C$36+Assumptions!$C$37)*Assumptions!$C$5*(Assumptions!$C$30-1)/12))/(E$16*(1+Assumptions!$C$10+Assumptions!$C$34*(Assumptions!$C$30-1)/12)+Assumptions!$C$41*Assumptions!$C$34)</f>
        <v>9739010.4314420782</v>
      </c>
      <c r="F22" s="49">
        <f>(12*$B22*Assumptions!$C$5*(1-Assumptions!$C$41-Assumptions!$C$39)-Assumptions!$C$41*(Assumptions!$C$36+Assumptions!$C$37)*Assumptions!$C$5-F$16*(Assumptions!$C$19+(Assumptions!$C$28*Assumptions!$C$5)+(Assumptions!$C$29*$B22*Assumptions!$C$5*Assumptions!$C$25)+(Assumptions!$C$36+Assumptions!$C$37)*Assumptions!$C$5*(Assumptions!$C$30-1)/12))/(F$16*(1+Assumptions!$C$10+Assumptions!$C$34*(Assumptions!$C$30-1)/12)+Assumptions!$C$41*Assumptions!$C$34)</f>
        <v>9297599.8078565318</v>
      </c>
      <c r="G22" s="49">
        <f>(12*$B22*Assumptions!$C$5*(1-Assumptions!$C$41-Assumptions!$C$39)-Assumptions!$C$41*(Assumptions!$C$36+Assumptions!$C$37)*Assumptions!$C$5-G$16*(Assumptions!$C$19+(Assumptions!$C$28*Assumptions!$C$5)+(Assumptions!$C$29*$B22*Assumptions!$C$5*Assumptions!$C$25)+(Assumptions!$C$36+Assumptions!$C$37)*Assumptions!$C$5*(Assumptions!$C$30-1)/12))/(G$16*(1+Assumptions!$C$10+Assumptions!$C$34*(Assumptions!$C$30-1)/12)+Assumptions!$C$41*Assumptions!$C$34)</f>
        <v>8887458.800109826</v>
      </c>
    </row>
    <row r="25" spans="2:7" x14ac:dyDescent="0.2">
      <c r="B25" s="4" t="s">
        <v>242</v>
      </c>
    </row>
    <row r="26" spans="2:7" x14ac:dyDescent="0.2">
      <c r="B26" s="9" t="s">
        <v>243</v>
      </c>
    </row>
    <row r="27" spans="2:7" x14ac:dyDescent="0.2">
      <c r="B27" s="28" t="s">
        <v>239</v>
      </c>
      <c r="C27" s="45">
        <v>8500000</v>
      </c>
      <c r="D27" s="45">
        <v>9000000</v>
      </c>
      <c r="E27" s="45">
        <v>9500000</v>
      </c>
      <c r="F27" s="45">
        <v>10000000</v>
      </c>
      <c r="G27" s="45">
        <v>10800000</v>
      </c>
    </row>
    <row r="28" spans="2:7" x14ac:dyDescent="0.2">
      <c r="B28" s="50">
        <v>1.8</v>
      </c>
      <c r="C28" s="51">
        <f>Assumptions!G4</f>
        <v>4.6955820918083188E-2</v>
      </c>
      <c r="D28" s="51">
        <f>Assumptions!H4</f>
        <v>2.3782899975776668E-2</v>
      </c>
      <c r="E28" s="51">
        <f>Assumptions!I4</f>
        <v>1.0617047548294068E-3</v>
      </c>
      <c r="F28" s="51">
        <f>Assumptions!J4</f>
        <v>-2.1338912844657897E-2</v>
      </c>
      <c r="G28" s="51">
        <f>Assumptions!K4</f>
        <v>-5.682633221149444E-2</v>
      </c>
    </row>
    <row r="29" spans="2:7" x14ac:dyDescent="0.2">
      <c r="B29" s="50">
        <v>1.9</v>
      </c>
      <c r="C29" s="51">
        <f>Assumptions!G5</f>
        <v>7.3377373814582841E-2</v>
      </c>
      <c r="D29" s="51">
        <f>Assumptions!H5</f>
        <v>5.0825801491737363E-2</v>
      </c>
      <c r="E29" s="51">
        <f>Assumptions!I5</f>
        <v>2.8821775317192076E-2</v>
      </c>
      <c r="F29" s="51">
        <f>Assumptions!J5</f>
        <v>7.2444885969161999E-3</v>
      </c>
      <c r="G29" s="51">
        <f>Assumptions!K5</f>
        <v>-2.6669590175151831E-2</v>
      </c>
    </row>
    <row r="30" spans="2:7" x14ac:dyDescent="0.2">
      <c r="B30" s="50">
        <v>2</v>
      </c>
      <c r="C30" s="51">
        <f>Assumptions!G6</f>
        <v>9.7842532396316517E-2</v>
      </c>
      <c r="D30" s="51">
        <f>Assumptions!H6</f>
        <v>7.5764778256416324E-2</v>
      </c>
      <c r="E30" s="51">
        <f>Assumptions!I6</f>
        <v>5.4308578372001648E-2</v>
      </c>
      <c r="F30" s="51">
        <f>Assumptions!J6</f>
        <v>3.3359119296073922E-2</v>
      </c>
      <c r="G30" s="51">
        <f>Assumptions!K6</f>
        <v>6.365686655044557E-4</v>
      </c>
    </row>
    <row r="31" spans="2:7" x14ac:dyDescent="0.2">
      <c r="B31" s="50">
        <v>2.1</v>
      </c>
      <c r="C31" s="51">
        <f>Assumptions!G7</f>
        <v>0.12066823840141297</v>
      </c>
      <c r="D31" s="51">
        <f>Assumptions!H7</f>
        <v>9.8954910039901728E-2</v>
      </c>
      <c r="E31" s="51">
        <f>Assumptions!I7</f>
        <v>7.7922508120536818E-2</v>
      </c>
      <c r="F31" s="51">
        <f>Assumptions!J7</f>
        <v>5.7459625601768496E-2</v>
      </c>
      <c r="G31" s="51">
        <f>Assumptions!K7</f>
        <v>2.5658479332923895E-2</v>
      </c>
    </row>
    <row r="32" spans="2:7" x14ac:dyDescent="0.2">
      <c r="B32" s="50">
        <v>2.2000000000000002</v>
      </c>
      <c r="C32" s="51">
        <f>Assumptions!G8</f>
        <v>0.1420979678630829</v>
      </c>
      <c r="D32" s="51">
        <f>Assumptions!H8</f>
        <v>0.12066580653190612</v>
      </c>
      <c r="E32" s="51">
        <f>Assumptions!I8</f>
        <v>9.9963742494583147E-2</v>
      </c>
      <c r="F32" s="51">
        <f>Assumptions!J8</f>
        <v>7.9882183670997642E-2</v>
      </c>
      <c r="G32" s="51">
        <f>Assumptions!K8</f>
        <v>4.8804381489753718E-2</v>
      </c>
    </row>
    <row r="33" spans="2:7" x14ac:dyDescent="0.2">
      <c r="B33" s="50">
        <v>2.2999999999999998</v>
      </c>
      <c r="C33" s="51">
        <f>Assumptions!G9</f>
        <v>0.16232311129570012</v>
      </c>
      <c r="D33" s="51">
        <f>Assumptions!H9</f>
        <v>0.14110737442970275</v>
      </c>
      <c r="E33" s="51">
        <f>Assumptions!I9</f>
        <v>0.12066358923912049</v>
      </c>
      <c r="F33" s="51">
        <f>Assumptions!J9</f>
        <v>0.10088285803794861</v>
      </c>
      <c r="G33" s="51">
        <f>Assumptions!K9</f>
        <v>7.0378986001014693E-2</v>
      </c>
    </row>
    <row r="35" spans="2:7" x14ac:dyDescent="0.2">
      <c r="B35" s="9" t="s">
        <v>244</v>
      </c>
    </row>
  </sheetData>
  <conditionalFormatting sqref="C28:G33">
    <cfRule type="cellIs" dxfId="1" priority="2" operator="greaterThanOrEqual">
      <formula>0.12</formula>
    </cfRule>
    <cfRule type="cellIs" dxfId="0" priority="3" operator="lessThan">
      <formula>0.06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greaterThanOrEqual" id="{00000000-000E-0000-0600-000004000000}">
            <xm:f>Assumptions!$C$55</xm:f>
            <x14:dxf>
              <fill>
                <patternFill>
                  <bgColor rgb="FFD9EAD3"/>
                </patternFill>
              </fill>
            </x14:dxf>
          </x14:cfRule>
          <x14:cfRule type="cellIs" priority="5" operator="lessThan" id="{00000000-000E-0000-0600-000005000000}">
            <xm:f>Assumptions!$C$51</xm:f>
            <x14:dxf>
              <fill>
                <patternFill>
                  <bgColor rgb="FFF4CCCC"/>
                </patternFill>
              </fill>
            </x14:dxf>
          </x14:cfRule>
          <xm:sqref>C6:G11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Comps</vt:lpstr>
      <vt:lpstr>Sources and Uses</vt:lpstr>
      <vt:lpstr>Cash Flow</vt:lpstr>
      <vt:lpstr>Annual Summary</vt:lpstr>
      <vt:lpstr>Returns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Shaurya Kalbhor</dc:creator>
  <dc:description/>
  <cp:lastModifiedBy>Shaurya Kalbhor</cp:lastModifiedBy>
  <cp:revision>0</cp:revision>
  <dcterms:created xsi:type="dcterms:W3CDTF">2026-09-25T08:01:35Z</dcterms:created>
  <dcterms:modified xsi:type="dcterms:W3CDTF">2026-09-25T10:21:31Z</dcterms:modified>
  <dc:language>en-US</dc:language>
</cp:coreProperties>
</file>